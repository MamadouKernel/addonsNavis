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e1e5da1b8c4b94" /></Relationships>
</file>

<file path=xl/workbook.xml><?xml version="1.0" encoding="utf-8"?>
<x:workbook xmlns:x="http://schemas.openxmlformats.org/spreadsheetml/2006/main">
  <x:sheets>
    <x:sheet xmlns:r="http://schemas.openxmlformats.org/officeDocument/2006/relationships" name="Pre-requis" sheetId="1" r:id="Rd41cacfef7b24798"/>
    <x:sheet xmlns:r="http://schemas.openxmlformats.org/officeDocument/2006/relationships" name="Cahier de test" sheetId="2" r:id="Ra7de27b2e5f549ce"/>
    <x:sheet xmlns:r="http://schemas.openxmlformats.org/officeDocument/2006/relationships" name="Synthèse" sheetId="3" r:id="R8ea7b671e0b9435d"/>
  </x:sheets>
</x:workbook>
</file>

<file path=xl/sharedStrings.xml><?xml version="1.0" encoding="utf-8"?>
<x:sst xmlns:x="http://schemas.openxmlformats.org/spreadsheetml/2006/main">
  <x:si>
    <x:t xml:space="preserve">Cahier de recette EscaleReport — Pré-requis</x:t>
  </x:si>
  <x:si>
    <x:t xml:space="preserve">Solution de gestion des escales et des rapports de fin de shift  ·  Côte d'Ivoire Terminal</x:t>
  </x:si>
  <x:si>
    <x:t xml:space="preserve">Rôles à utiliser pendant la recette</x:t>
  </x:si>
  <x:si>
    <x:t xml:space="preserve">Rôle</x:t>
  </x:si>
  <x:si>
    <x:t xml:space="preserve">Périmètre attendu</x:t>
  </x:si>
  <x:si>
    <x:t xml:space="preserve">Actions principales à tester</x:t>
  </x:si>
  <x:si>
    <x:t xml:space="preserve">Vessel Planner</x:t>
  </x:si>
  <x:si>
    <x:t xml:space="preserve">Toutes les escales, quel que soit leur statut</x:t>
  </x:si>
  <x:si>
    <x:t xml:space="preserve">Créer une escale, renseigner l'entête, saisir les cinq registres, marquer terminée, supprimer, éditer le rapport navire</x:t>
  </x:si>
  <x:si>
    <x:t xml:space="preserve">Dispatch STS</x:t>
  </x:si>
  <x:si>
    <x:t xml:space="preserve">Sa saisie du shift + navires non terminés en lecture seule</x:t>
  </x:si>
  <x:si>
    <x:t xml:space="preserve">Affecter un portique, déclarer une panne, retirer un portique, saisir incidents, pointeurs et ROPN</x:t>
  </x:si>
  <x:si>
    <x:t xml:space="preserve">Dispatch TT</x:t>
  </x:si>
  <x:si>
    <x:t xml:space="preserve">Sa saisie du shift</x:t>
  </x:si>
  <x:si>
    <x:t xml:space="preserve">Saisir l'effectif, répartir les tracteurs, enregistrer les déconnexions</x:t>
  </x:si>
  <x:si>
    <x:t xml:space="preserve">Dispatch RTG</x:t>
  </x:si>
  <x:si>
    <x:t xml:space="preserve">Sa saisie du shift + incidents STS en lecture seule</x:t>
  </x:si>
  <x:si>
    <x:t xml:space="preserve">Saisir l'effectif, déclarer pannes et clashs, saisir l'activité GATE</x:t>
  </x:si>
  <x:si>
    <x:t xml:space="preserve">Autres engins</x:t>
  </x:si>
  <x:si>
    <x:t xml:space="preserve">Saisir l'effectif par famille, pannes, déconnexions, remplacements d'opérateur</x:t>
  </x:si>
  <x:si>
    <x:t xml:space="preserve">Cargo Controller</x:t>
  </x:si>
  <x:si>
    <x:t xml:space="preserve">Toutes les escales (volet cargo)</x:t>
  </x:si>
  <x:si>
    <x:t xml:space="preserve">Consolider disch et load, saisir Baplie et transbordements, éditer et clôturer le rapport final</x:t>
  </x:si>
  <x:si>
    <x:t xml:space="preserve">Yard Planner</x:t>
  </x:si>
  <x:si>
    <x:t xml:space="preserve">Créer les plans par navire, saisir les transferts sortants, suivre le housekeeping</x:t>
  </x:si>
  <x:si>
    <x:t xml:space="preserve">ITT Controller</x:t>
  </x:si>
  <x:si>
    <x:t xml:space="preserve">Saisir les équipements, transferts, incidents et pannes  (module sous réserve PO-01)</x:t>
  </x:si>
  <x:si>
    <x:t xml:space="preserve">Coordinateur Control Room</x:t>
  </x:si>
  <x:si>
    <x:t xml:space="preserve">Toutes les saisies du shift, en lecture seule</x:t>
  </x:si>
  <x:si>
    <x:t xml:space="preserve">Sélectionner date et shift, consulter chaque poste, ajouter ses observations, éditer le rapport de shift</x:t>
  </x:si>
  <x:si>
    <x:t xml:space="preserve">Administrateur</x:t>
  </x:si>
  <x:si>
    <x:t xml:space="preserve">Tout + administration</x:t>
  </x:si>
  <x:si>
    <x:t xml:space="preserve">Créer et modifier les comptes, attribuer postes, équipes et permissions, consulter le journal, synchroniser</x:t>
  </x:si>
  <x:si>
    <x:t xml:space="preserve">Préparation obligatoire avant recette</x:t>
  </x:si>
  <x:si>
    <x:t xml:space="preserve">ID</x:t>
  </x:si>
  <x:si>
    <x:t xml:space="preserve">Élément</x:t>
  </x:si>
  <x:si>
    <x:t xml:space="preserve">Détail attendu</x:t>
  </x:si>
  <x:si>
    <x:t xml:space="preserve">Statut développeur</x:t>
  </x:si>
  <x:si>
    <x:t xml:space="preserve">PREP-01</x:t>
  </x:si>
  <x:si>
    <x:t xml:space="preserve">Compte 1</x:t>
  </x:si>
  <x:si>
    <x:t xml:space="preserve">Vessel Planner — équipe A, permissions créer / modifier / supprimer / terminer</x:t>
  </x:si>
  <x:si>
    <x:t xml:space="preserve">PREP-02</x:t>
  </x:si>
  <x:si>
    <x:t xml:space="preserve">Compte 2</x:t>
  </x:si>
  <x:si>
    <x:t xml:space="preserve">Vessel Planner — équipe A, permissions en lecture seule (aucune case cochée)</x:t>
  </x:si>
  <x:si>
    <x:t xml:space="preserve">PREP-03</x:t>
  </x:si>
  <x:si>
    <x:t xml:space="preserve">Compte 3</x:t>
  </x:si>
  <x:si>
    <x:t xml:space="preserve">Dispatcher — équipe A (testera les quatre affectations STS, TT, RTG, Autres engins)</x:t>
  </x:si>
  <x:si>
    <x:t xml:space="preserve">PREP-04</x:t>
  </x:si>
  <x:si>
    <x:t xml:space="preserve">Compte 4</x:t>
  </x:si>
  <x:si>
    <x:t xml:space="preserve">Dispatcher — équipe B (contrôle du cloisonnement entre équipes)</x:t>
  </x:si>
  <x:si>
    <x:t xml:space="preserve">PREP-05</x:t>
  </x:si>
  <x:si>
    <x:t xml:space="preserve">Compte 5</x:t>
  </x:si>
  <x:si>
    <x:t xml:space="preserve">Cargo Controller — équipe A, permissions PDF et Excel</x:t>
  </x:si>
  <x:si>
    <x:t xml:space="preserve">PREP-06</x:t>
  </x:si>
  <x:si>
    <x:t xml:space="preserve">Compte 6</x:t>
  </x:si>
  <x:si>
    <x:t xml:space="preserve">Yard Planner — équipe A</x:t>
  </x:si>
  <x:si>
    <x:t xml:space="preserve">PREP-07</x:t>
  </x:si>
  <x:si>
    <x:t xml:space="preserve">Compte 7</x:t>
  </x:si>
  <x:si>
    <x:t xml:space="preserve">ITT Controller — équipe A</x:t>
  </x:si>
  <x:si>
    <x:t xml:space="preserve">PREP-08</x:t>
  </x:si>
  <x:si>
    <x:t xml:space="preserve">Compte 8</x:t>
  </x:si>
  <x:si>
    <x:t xml:space="preserve">Coordinateur Control Room — équipe A, permissions PDF, Excel et rapport général</x:t>
  </x:si>
  <x:si>
    <x:t xml:space="preserve">PREP-09</x:t>
  </x:si>
  <x:si>
    <x:t xml:space="preserve">Compte 9</x:t>
  </x:si>
  <x:si>
    <x:t xml:space="preserve">Coordinateur Control Room — équipe B</x:t>
  </x:si>
  <x:si>
    <x:t xml:space="preserve">PREP-10</x:t>
  </x:si>
  <x:si>
    <x:t xml:space="preserve">Compte 10</x:t>
  </x:si>
  <x:si>
    <x:t xml:space="preserve">PREP-11</x:t>
  </x:si>
  <x:si>
    <x:t xml:space="preserve">Base de données</x:t>
  </x:si>
  <x:si>
    <x:t xml:space="preserve">PREP-12</x:t>
  </x:si>
  <x:si>
    <x:t xml:space="preserve">Jeu d'essai — escales</x:t>
  </x:si>
  <x:si>
    <x:t xml:space="preserve">Six escales : deux En cours, deux Pas encore débutées (dont une à ETA dépassée), deux Terminées</x:t>
  </x:si>
  <x:si>
    <x:t xml:space="preserve">PREP-13</x:t>
  </x:si>
  <x:si>
    <x:t xml:space="preserve">Jeu d'essai — planification</x:t>
  </x:si>
  <x:si>
    <x:t xml:space="preserve">Au moins un navire Plan validé, un Planifié et un Non planifié</x:t>
  </x:si>
  <x:si>
    <x:t xml:space="preserve">PREP-14</x:t>
  </x:si>
  <x:si>
    <x:t xml:space="preserve">Jeu d'essai — registres</x:t>
  </x:si>
  <x:si>
    <x:t xml:space="preserve">Une escale comportant au moins trois lignes dans chacun des cinq registres</x:t>
  </x:si>
  <x:si>
    <x:t xml:space="preserve">PREP-15</x:t>
  </x:si>
  <x:si>
    <x:t xml:space="preserve">Jeu d'essai — dangereux</x:t>
  </x:si>
  <x:si>
    <x:t xml:space="preserve">Au moins un conteneur dangereux au BADT « À renouveler »</x:t>
  </x:si>
  <x:si>
    <x:t xml:space="preserve">PREP-16</x:t>
  </x:si>
  <x:si>
    <x:t xml:space="preserve">Jeu d'essai — cargo</x:t>
  </x:si>
  <x:si>
    <x:t xml:space="preserve">Une escale avec consolidation disch faite et une autre sans, pour déclencher les alertes</x:t>
  </x:si>
  <x:si>
    <x:t xml:space="preserve">PREP-17</x:t>
  </x:si>
  <x:si>
    <x:t xml:space="preserve">Poste de test</x:t>
  </x:si>
  <x:si>
    <x:t xml:space="preserve">Ordinateur sous navigateur récent, résolution 1366 x 768 minimum</x:t>
  </x:si>
  <x:si>
    <x:t xml:space="preserve">PREP-18</x:t>
  </x:si>
  <x:si>
    <x:t xml:space="preserve">Poste de test complémentaire</x:t>
  </x:si>
  <x:si>
    <x:t xml:space="preserve">PREP-19</x:t>
  </x:si>
  <x:si>
    <x:t xml:space="preserve">Messagerie</x:t>
  </x:si>
  <x:si>
    <x:t xml:space="preserve">PREP-20</x:t>
  </x:si>
  <x:si>
    <x:t xml:space="preserve">Environnement</x:t>
  </x:si>
  <x:si>
    <x:t xml:space="preserve">Environnement de recette distinct de la production, avec données d'essai uniquement</x:t>
  </x:si>
  <x:si>
    <x:t xml:space="preserve">Conventions de remplissage</x:t>
  </x:si>
  <x:si>
    <x:t xml:space="preserve">Statut</x:t>
  </x:si>
  <x:si>
    <x:t xml:space="preserve">Non testé  ·  OK  ·  KO  ·  Bloqué  ·  Sans objet — à choisir dans la liste déroulante de la colonne Statut.</x:t>
  </x:si>
  <x:si>
    <x:t xml:space="preserve">Criticité</x:t>
  </x:si>
  <x:si>
    <x:t xml:space="preserve">Bloquante : empêche l'exploitation, correction avant mise en service.  Majeure : fonction dégradée, correction planifiée.  Moyenne : confort, correction différée possible.</x:t>
  </x:si>
  <x:si>
    <x:t xml:space="preserve">Résultat obtenu</x:t>
  </x:si>
  <x:si>
    <x:t xml:space="preserve">À renseigner uniquement si le résultat diffère de l'attendu. Décrire ce qui s'est réellement produit.</x:t>
  </x:si>
  <x:si>
    <x:t xml:space="preserve">Commentaires</x:t>
  </x:si>
  <x:si>
    <x:t xml:space="preserve">Contient la référence de l'exigence du cahier fonctionnel couverte par le test. Y ajouter la référence de l'anomalie ouverte le cas échéant.</x:t>
  </x:si>
  <x:si>
    <x:t xml:space="preserve">Règle de rejet</x:t>
  </x:si>
  <x:si>
    <x:t xml:space="preserve">Un test KO de criticité Bloquante interdit le prononcé de la recette.</x:t>
  </x:si>
  <x:si>
    <x:t xml:space="preserve">Process</x:t>
  </x:si>
  <x:si>
    <x:t xml:space="preserve">ID test</x:t>
  </x:si>
  <x:si>
    <x:t xml:space="preserve">Module</x:t>
  </x:si>
  <x:si>
    <x:t xml:space="preserve">Point à vérifier</x:t>
  </x:si>
  <x:si>
    <x:t xml:space="preserve">Étapes</x:t>
  </x:si>
  <x:si>
    <x:t xml:space="preserve">Résultat attendu</x:t>
  </x:si>
  <x:si>
    <x:t xml:space="preserve">Synthèse de la recette</x:t>
  </x:si>
  <x:si>
    <x:t xml:space="preserve">Les compteurs se mettent à jour automatiquement à mesure du remplissage de l'onglet « Cahier de test ».</x:t>
  </x:si>
  <x:si>
    <x:t xml:space="preserve">Indicateur</x:t>
  </x:si>
  <x:si>
    <x:t xml:space="preserve">Bloquante</x:t>
  </x:si>
  <x:si>
    <x:t xml:space="preserve">Majeure</x:t>
  </x:si>
  <x:si>
    <x:t xml:space="preserve">Moyenne</x:t>
  </x:si>
  <x:si>
    <x:t xml:space="preserve">Total</x:t>
  </x:si>
  <x:si>
    <x:t xml:space="preserve">Tests prévus</x:t>
  </x:si>
  <x:si>
    <x:t xml:space="preserve">Non testés</x:t>
  </x:si>
  <x:si>
    <x:t xml:space="preserve">Conformes (OK)</x:t>
  </x:si>
  <x:si>
    <x:t xml:space="preserve">Anomalies (KO)</x:t>
  </x:si>
  <x:si>
    <x:t xml:space="preserve">Bloqués</x:t>
  </x:si>
  <x:si>
    <x:t xml:space="preserve">Sans objet</x:t>
  </x:si>
  <x:si>
    <x:t xml:space="preserve">Taux d'avancement</x:t>
  </x:si>
  <x:si>
    <x:t xml:space="preserve">Taux de conformité</x:t>
  </x:si>
  <x:si>
    <x:t xml:space="preserve">Prononcé de la recette</x:t>
  </x:si>
  <x:si>
    <x:t xml:space="preserve">Nom</x:t>
  </x:si>
  <x:si>
    <x:t xml:space="preserve">Date</x:t>
  </x:si>
  <x:si>
    <x:t xml:space="preserve">Visa / Décision</x:t>
  </x:si>
  <x:si>
    <x:t xml:space="preserve">Testeur métier</x:t>
  </x:si>
  <x:si>
    <x:t xml:space="preserve">Chef de projet</x:t>
  </x:si>
  <x:si>
    <x:t xml:space="preserve">Responsable exploitation</x:t>
  </x:si>
  <x:si>
    <x:t xml:space="preserve">DSI</x:t>
  </x:si>
</x:sst>
</file>

<file path=xl/styles.xml><?xml version="1.0" encoding="utf-8"?>
<x:styleSheet xmlns:x="http://schemas.openxmlformats.org/spreadsheetml/2006/main">
  <x:numFmts count="1">
    <x:numFmt numFmtId="164" formatCode="0.0%"/>
  </x:numFmts>
  <x:fonts count="16">
    <x:font>
      <x:sz val="11"/>
      <x:color theme="1"/>
      <x:name val="Calibri"/>
    </x:font>
    <x:font>
      <x:b/>
      <x:sz val="13"/>
      <x:color rgb="FFFFFFFF"/>
      <x:name val="Arial"/>
    </x:font>
    <x:font>
      <x:i/>
      <x:sz val="10"/>
      <x:color rgb="FF5B6B79"/>
      <x:name val="Arial"/>
    </x:font>
    <x:font>
      <x:b/>
      <x:sz val="10"/>
      <x:color rgb="FFFFFFFF"/>
      <x:name val="Arial"/>
    </x:font>
    <x:font>
      <x:sz val="10"/>
      <x:name val="Arial"/>
    </x:font>
    <x:font>
      <x:b/>
      <x:sz val="10"/>
      <x:color rgb="FF1C4A66"/>
      <x:name val="Arial"/>
    </x:font>
    <x:font>
      <x:sz val="9"/>
      <x:name val="Arial"/>
    </x:font>
    <x:font>
      <x:b/>
      <x:sz val="9"/>
      <x:name val="Arial"/>
    </x:font>
    <x:font>
      <x:b/>
      <x:sz val="9"/>
      <x:color rgb="FFB22F2F"/>
      <x:name val="Arial"/>
    </x:font>
    <x:font>
      <x:sz val="9"/>
      <x:color rgb="FF5B6B79"/>
      <x:name val="Arial"/>
    </x:font>
    <x:font>
      <x:b/>
      <x:sz val="9"/>
      <x:color rgb="FF176F63"/>
      <x:name val="Arial"/>
    </x:font>
    <x:font>
      <x:b/>
      <x:sz val="9"/>
      <x:color rgb="FF9A5B10"/>
      <x:name val="Arial"/>
    </x:font>
    <x:font>
      <x:b/>
      <x:sz val="10"/>
      <x:name val="Arial"/>
    </x:font>
    <x:font>
      <x:b/>
      <x:sz val="11"/>
      <x:color rgb="FF1C4A66"/>
      <x:name val="Arial"/>
    </x:font>
    <x:font>
      <x:b/>
      <x:sz val="11"/>
      <x:name val="Arial"/>
    </x:font>
    <x:font>
      <x:b/>
      <x:sz val="11"/>
      <x:color rgb="FF3A2300"/>
      <x:name val="Arial"/>
    </x:font>
  </x:fonts>
  <x:fills count="10">
    <x:fill>
      <x:patternFill patternType="none"/>
    </x:fill>
    <x:fill>
      <x:patternFill patternType="gray125"/>
    </x:fill>
    <x:fill>
      <x:patternFill patternType="solid">
        <x:fgColor rgb="FF0E1B2A"/>
      </x:patternFill>
    </x:fill>
    <x:fill>
      <x:patternFill patternType="solid">
        <x:fgColor rgb="FF1C4A66"/>
      </x:patternFill>
    </x:fill>
    <x:fill>
      <x:patternFill patternType="solid">
        <x:fgColor rgb="FFF4F7F9"/>
      </x:patternFill>
    </x:fill>
    <x:fill>
      <x:patternFill patternType="solid">
        <x:fgColor rgb="FFE9F7F4"/>
      </x:patternFill>
    </x:fill>
    <x:fill>
      <x:patternFill patternType="solid">
        <x:fgColor rgb="FFEDEFF2"/>
      </x:patternFill>
    </x:fill>
    <x:fill>
      <x:patternFill patternType="solid">
        <x:fgColor rgb="FFFDECEA"/>
      </x:patternFill>
    </x:fill>
    <x:fill>
      <x:patternFill patternType="solid">
        <x:fgColor rgb="FFFDF3E6"/>
      </x:patternFill>
    </x:fill>
    <x:fill>
      <x:patternFill patternType="solid">
        <x:fgColor rgb="FFF2A341"/>
      </x:patternFill>
    </x:fill>
  </x:fills>
  <x:borders count="3">
    <x:border/>
    <x:border>
      <x:left style="thin">
        <x:color rgb="FFDCE4EA"/>
      </x:left>
      <x:right style="thin">
        <x:color rgb="FFDCE4EA"/>
      </x:right>
      <x:top style="thin">
        <x:color rgb="FFDCE4EA"/>
      </x:top>
      <x:bottom style="thin">
        <x:color rgb="FFDCE4EA"/>
      </x:bottom>
    </x:border>
    <x:border>
      <x:left style="thin">
        <x:color rgb="FFDCE4EA"/>
      </x:left>
      <x:right style="thin">
        <x:color rgb="FFDCE4EA"/>
      </x:right>
    </x:border>
  </x:borders>
  <x:cellStyleXfs count="1">
    <x:xf numFmtId="0" fontId="0" fillId="0" borderId="0"/>
  </x:cellStyleXfs>
  <x:cellXfs count="38">
    <x:xf numFmtId="0" fontId="0" fillId="0" borderId="0" xfId="0"/>
    <x:xf numFmtId="0" fontId="2" fillId="0" borderId="0" xfId="0" applyFont="1"/>
    <x:xf numFmtId="0" fontId="3" fillId="3" borderId="1" xfId="0" applyFont="1" applyFill="1" applyBorder="1" applyAlignment="1">
      <x:alignment horizontal="center" vertical="center" wrapText="1"/>
    </x:xf>
    <x:xf numFmtId="0" fontId="4" fillId="0" borderId="1" xfId="0" applyFont="1" applyBorder="1" applyAlignment="1">
      <x:alignment horizontal="left" vertical="top" wrapText="1"/>
    </x:xf>
    <x:xf numFmtId="0" fontId="4" fillId="4" borderId="1" xfId="0" applyFont="1" applyFill="1" applyBorder="1" applyAlignment="1">
      <x:alignment horizontal="left" vertical="top" wrapText="1"/>
    </x:xf>
    <x:xf numFmtId="0" fontId="4" fillId="5" borderId="1" xfId="0" applyFont="1" applyFill="1" applyBorder="1" applyAlignment="1">
      <x:alignment horizontal="center" vertical="center" wrapText="1"/>
    </x:xf>
    <x:xf numFmtId="0" fontId="5" fillId="0" borderId="1" xfId="0" applyFont="1" applyBorder="1" applyAlignment="1">
      <x:alignment horizontal="left" vertical="top" wrapText="1"/>
    </x:xf>
    <x:xf numFmtId="0" fontId="5" fillId="4" borderId="1" xfId="0" applyFont="1" applyFill="1" applyBorder="1" applyAlignment="1">
      <x:alignment horizontal="left" vertical="top" wrapText="1"/>
    </x:xf>
    <x:xf numFmtId="0" fontId="6" fillId="0" borderId="1" xfId="0" applyFont="1" applyBorder="1" applyAlignment="1">
      <x:alignment horizontal="left" vertical="center" wrapText="1"/>
    </x:xf>
    <x:xf numFmtId="0" fontId="7" fillId="0" borderId="1" xfId="0" applyFont="1" applyBorder="1" applyAlignment="1">
      <x:alignment horizontal="left" vertical="center" wrapText="1"/>
    </x:xf>
    <x:xf numFmtId="0" fontId="6" fillId="0" borderId="1" xfId="0" applyFont="1" applyBorder="1" applyAlignment="1">
      <x:alignment horizontal="left" vertical="top" wrapText="1"/>
    </x:xf>
    <x:xf numFmtId="0" fontId="6" fillId="6" borderId="1" xfId="0" applyFont="1" applyFill="1" applyBorder="1" applyAlignment="1">
      <x:alignment horizontal="center" vertical="center" wrapText="1"/>
    </x:xf>
    <x:xf numFmtId="0" fontId="8" fillId="7" borderId="1" xfId="0" applyFont="1" applyFill="1" applyBorder="1" applyAlignment="1">
      <x:alignment horizontal="center" vertical="center" wrapText="1"/>
    </x:xf>
    <x:xf numFmtId="0" fontId="9" fillId="0" borderId="1" xfId="0" applyFont="1" applyBorder="1" applyAlignment="1">
      <x:alignment horizontal="left" vertical="top" wrapText="1"/>
    </x:xf>
    <x:xf numFmtId="0" fontId="6" fillId="4" borderId="1" xfId="0" applyFont="1" applyFill="1" applyBorder="1" applyAlignment="1">
      <x:alignment horizontal="left" vertical="center" wrapText="1"/>
    </x:xf>
    <x:xf numFmtId="0" fontId="7" fillId="4" borderId="1" xfId="0" applyFont="1" applyFill="1" applyBorder="1" applyAlignment="1">
      <x:alignment horizontal="left" vertical="center" wrapText="1"/>
    </x:xf>
    <x:xf numFmtId="0" fontId="6" fillId="4" borderId="1" xfId="0" applyFont="1" applyFill="1" applyBorder="1" applyAlignment="1">
      <x:alignment horizontal="left" vertical="top" wrapText="1"/>
    </x:xf>
    <x:xf numFmtId="0" fontId="9" fillId="4" borderId="1" xfId="0" applyFont="1" applyFill="1" applyBorder="1" applyAlignment="1">
      <x:alignment horizontal="left" vertical="top" wrapText="1"/>
    </x:xf>
    <x:xf numFmtId="0" fontId="10" fillId="5" borderId="1" xfId="0" applyFont="1" applyFill="1" applyBorder="1" applyAlignment="1">
      <x:alignment horizontal="center" vertical="center" wrapText="1"/>
    </x:xf>
    <x:xf numFmtId="0" fontId="11" fillId="8" borderId="1" xfId="0" applyFont="1" applyFill="1" applyBorder="1" applyAlignment="1">
      <x:alignment horizontal="center" vertical="center" wrapText="1"/>
    </x:xf>
    <x:xf numFmtId="0" fontId="12" fillId="0" borderId="1" xfId="0" applyFont="1" applyBorder="1" applyAlignment="1">
      <x:alignment horizontal="left" vertical="center" wrapText="1"/>
    </x:xf>
    <x:xf numFmtId="0" fontId="4" fillId="0" borderId="1" xfId="0" applyFont="1" applyBorder="1" applyAlignment="1">
      <x:alignment horizontal="center" vertical="center" wrapText="1"/>
    </x:xf>
    <x:xf numFmtId="0" fontId="12" fillId="0" borderId="1" xfId="0" applyFont="1" applyBorder="1" applyAlignment="1">
      <x:alignment horizontal="center" vertical="center" wrapText="1"/>
    </x:xf>
    <x:xf numFmtId="0" fontId="12" fillId="4" borderId="1" xfId="0" applyFont="1" applyFill="1" applyBorder="1" applyAlignment="1">
      <x:alignment horizontal="left" vertical="center" wrapText="1"/>
    </x:xf>
    <x:xf numFmtId="0" fontId="4" fillId="4" borderId="1" xfId="0" applyFont="1" applyFill="1" applyBorder="1" applyAlignment="1">
      <x:alignment horizontal="center" vertical="center" wrapText="1"/>
    </x:xf>
    <x:xf numFmtId="0" fontId="12" fillId="4" borderId="1" xfId="0" applyFont="1" applyFill="1" applyBorder="1" applyAlignment="1">
      <x:alignment horizontal="center" vertical="center" wrapText="1"/>
    </x:xf>
    <x:xf numFmtId="0" fontId="13" fillId="0" borderId="1" xfId="0" applyFont="1" applyBorder="1"/>
    <x:xf numFmtId="164" fontId="14" fillId="0" borderId="1" xfId="0" applyNumberFormat="1" applyFont="1" applyBorder="1" applyAlignment="1">
      <x:alignment horizontal="center" vertical="center" wrapText="1"/>
    </x:xf>
    <x:xf numFmtId="0" fontId="4" fillId="0" borderId="1" xfId="0" applyFont="1" applyBorder="1" applyAlignment="1">
      <x:alignment horizontal="left" vertical="center" wrapText="1"/>
    </x:xf>
    <x:xf numFmtId="0" fontId="4" fillId="4" borderId="1" xfId="0" applyFont="1" applyFill="1" applyBorder="1" applyAlignment="1">
      <x:alignment horizontal="left" vertical="center" wrapText="1"/>
    </x:xf>
    <x:xf numFmtId="0" fontId="4" fillId="4" borderId="1" xfId="0" applyFont="1" applyFill="1" applyBorder="1" applyAlignment="1">
      <x:alignment horizontal="left" vertical="top" wrapText="1"/>
    </x:xf>
    <x:xf numFmtId="0" fontId="4" fillId="0" borderId="1" xfId="0" applyFont="1" applyBorder="1" applyAlignment="1">
      <x:alignment horizontal="left" vertical="top" wrapText="1"/>
    </x:xf>
    <x:xf numFmtId="0" fontId="1" fillId="2" borderId="0" xfId="0" applyFont="1" applyFill="1" applyBorder="1" applyAlignment="1">
      <x:alignment horizontal="left" vertical="center" wrapText="1"/>
    </x:xf>
    <x:xf numFmtId="0" fontId="15" fillId="9" borderId="0" xfId="0" applyFont="1" applyFill="1" applyBorder="1" applyAlignment="1">
      <x:alignment horizontal="center" vertical="center" wrapText="1"/>
    </x:xf>
    <x:xf numFmtId="0" fontId="6" fillId="4" borderId="2" xfId="0" applyFont="1" applyFill="1" applyBorder="1" applyAlignment="1">
      <x:alignment horizontal="left" vertical="center" wrapText="1"/>
    </x:xf>
    <x:xf numFmtId="0" fontId="7" fillId="4" borderId="2" xfId="0" applyFont="1" applyFill="1" applyBorder="1" applyAlignment="1">
      <x:alignment horizontal="left" vertical="center" wrapText="1"/>
    </x:xf>
    <x:xf numFmtId="0" fontId="6" fillId="4" borderId="2" xfId="0" applyFont="1" applyFill="1" applyBorder="1" applyAlignment="1">
      <x:alignment horizontal="left" vertical="top" wrapText="1"/>
    </x:xf>
    <x:xf numFmtId="164" fontId="14" fillId="0" borderId="1" xfId="0" applyNumberFormat="1" applyFont="1" applyFill="1" applyBorder="1" applyAlignment="1">
      <x:alignment horizontal="center" vertical="center"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9A5B10"/>
      <x:rgbColor rgb="FF800080"/>
      <x:rgbColor rgb="FF176F63"/>
      <x:rgbColor rgb="FFC0C0C0"/>
      <x:rgbColor rgb="FF808080"/>
      <x:rgbColor rgb="FF9999FF"/>
      <x:rgbColor rgb="FF993366"/>
      <x:rgbColor rgb="FFFDF3E6"/>
      <x:rgbColor rgb="FFE9F7F4"/>
      <x:rgbColor rgb="FF660066"/>
      <x:rgbColor rgb="FFFF8080"/>
      <x:rgbColor rgb="FF0066CC"/>
      <x:rgbColor rgb="FFDCE4EA"/>
      <x:rgbColor rgb="FF000080"/>
      <x:rgbColor rgb="FFFF00FF"/>
      <x:rgbColor rgb="FFFFFF00"/>
      <x:rgbColor rgb="FF00FFFF"/>
      <x:rgbColor rgb="FF800080"/>
      <x:rgbColor rgb="FF800000"/>
      <x:rgbColor rgb="FF008080"/>
      <x:rgbColor rgb="FF0000FF"/>
      <x:rgbColor rgb="FF00CCFF"/>
      <x:rgbColor rgb="FFEDEFF2"/>
      <x:rgbColor rgb="FFF4F7F9"/>
      <x:rgbColor rgb="FFFDECEA"/>
      <x:rgbColor rgb="FF99CCFF"/>
      <x:rgbColor rgb="FFFF99CC"/>
      <x:rgbColor rgb="FFCC99FF"/>
      <x:rgbColor rgb="FFFFCC99"/>
      <x:rgbColor rgb="FF3366FF"/>
      <x:rgbColor rgb="FF33CCCC"/>
      <x:rgbColor rgb="FF99CC00"/>
      <x:rgbColor rgb="FFFFCC00"/>
      <x:rgbColor rgb="FFF2A341"/>
      <x:rgbColor rgb="FFFF6600"/>
      <x:rgbColor rgb="FF5B6B79"/>
      <x:rgbColor rgb="FF969696"/>
      <x:rgbColor rgb="FF1C4A66"/>
      <x:rgbColor rgb="FF339966"/>
      <x:rgbColor rgb="FF0E1B2A"/>
      <x:rgbColor rgb="FF3A2300"/>
      <x:rgbColor rgb="FFB22F2F"/>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6729c64f8f046a2" /><Relationship Type="http://schemas.openxmlformats.org/officeDocument/2006/relationships/theme" Target="/xl/theme/theme1.xml" Id="R0c9a07664b87469f" /><Relationship Type="http://schemas.openxmlformats.org/officeDocument/2006/relationships/sharedStrings" Target="/xl/sharedStrings.xml" Id="R1fa44c8fac774777" /><Relationship Type="http://schemas.openxmlformats.org/officeDocument/2006/relationships/worksheet" Target="/xl/worksheets/sheet1.xml" Id="Rd41cacfef7b24798" /><Relationship Type="http://schemas.openxmlformats.org/officeDocument/2006/relationships/worksheet" Target="/xl/worksheets/sheet2.xml" Id="Ra7de27b2e5f549ce" /><Relationship Type="http://schemas.openxmlformats.org/officeDocument/2006/relationships/worksheet" Target="/xl/worksheets/sheet3.xml" Id="R8ea7b671e0b9435d"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6328125" defaultRowHeight="14.5"/>
  <x:cols>
    <x:col min="1" max="1" width="3" customWidth="1"/>
    <x:col min="2" max="2" width="34" customWidth="1"/>
    <x:col min="3" max="3" width="42" customWidth="1"/>
    <x:col min="4" max="4" width="66" customWidth="1"/>
    <x:col min="5" max="5" width="20" customWidth="1"/>
  </x:cols>
  <x:sheetData>
    <x:row r="2" ht="25.5" customHeight="1">
      <x:c r="A2" s="32" t="s">
        <x:v>0</x:v>
      </x:c>
      <x:c r="B2" s="32"/>
      <x:c r="C2" s="32"/>
      <x:c r="D2" s="32"/>
    </x:row>
    <x:row r="3">
      <x:c r="A3" s="1" t="s">
        <x:v>1</x:v>
      </x:c>
    </x:row>
    <x:row r="5" ht="25.5" customHeight="1">
      <x:c r="A5" s="32" t="s">
        <x:v>2</x:v>
      </x:c>
      <x:c r="B5" s="32"/>
      <x:c r="C5" s="32"/>
      <x:c r="D5" s="32"/>
    </x:row>
    <x:row r="7" ht="25.5" customHeight="1">
      <x:c r="B7" s="2" t="s">
        <x:v>3</x:v>
      </x:c>
      <x:c r="C7" s="2" t="s">
        <x:v>4</x:v>
      </x:c>
      <x:c r="D7" s="2" t="s">
        <x:v>5</x:v>
      </x:c>
    </x:row>
    <x:row r="8" ht="33.75" customHeight="1">
      <x:c r="B8" s="3" t="s">
        <x:v>6</x:v>
      </x:c>
      <x:c r="C8" s="3" t="s">
        <x:v>7</x:v>
      </x:c>
      <x:c r="D8" s="3" t="s">
        <x:v>8</x:v>
      </x:c>
    </x:row>
    <x:row r="9" ht="33.75" customHeight="1">
      <x:c r="B9" s="4" t="s">
        <x:v>9</x:v>
      </x:c>
      <x:c r="C9" s="4" t="s">
        <x:v>10</x:v>
      </x:c>
      <x:c r="D9" s="4" t="s">
        <x:v>11</x:v>
      </x:c>
    </x:row>
    <x:row r="10" ht="33.75" customHeight="1">
      <x:c r="B10" s="3" t="s">
        <x:v>12</x:v>
      </x:c>
      <x:c r="C10" s="3" t="s">
        <x:v>13</x:v>
      </x:c>
      <x:c r="D10" s="3" t="s">
        <x:v>14</x:v>
      </x:c>
    </x:row>
    <x:row r="11" ht="33.75" customHeight="1">
      <x:c r="B11" s="4" t="s">
        <x:v>15</x:v>
      </x:c>
      <x:c r="C11" s="4" t="s">
        <x:v>16</x:v>
      </x:c>
      <x:c r="D11" s="4" t="s">
        <x:v>17</x:v>
      </x:c>
    </x:row>
    <x:row r="12" ht="33.75" customHeight="1">
      <x:c r="B12" s="3" t="s">
        <x:v>18</x:v>
      </x:c>
      <x:c r="C12" s="3" t="s">
        <x:v>13</x:v>
      </x:c>
      <x:c r="D12" s="3" t="s">
        <x:v>19</x:v>
      </x:c>
    </x:row>
    <x:row r="13" ht="33.75" customHeight="1">
      <x:c r="B13" s="4" t="s">
        <x:v>20</x:v>
      </x:c>
      <x:c r="C13" s="4" t="s">
        <x:v>21</x:v>
      </x:c>
      <x:c r="D13" s="4" t="s">
        <x:v>22</x:v>
      </x:c>
    </x:row>
    <x:row r="14" ht="33.75" customHeight="1">
      <x:c r="B14" s="3" t="s">
        <x:v>23</x:v>
      </x:c>
      <x:c r="C14" s="3" t="s">
        <x:v>13</x:v>
      </x:c>
      <x:c r="D14" s="3" t="s">
        <x:v>24</x:v>
      </x:c>
    </x:row>
    <x:row r="15" ht="33.75" customHeight="1">
      <x:c r="B15" s="4" t="s">
        <x:v>25</x:v>
      </x:c>
      <x:c r="C15" s="4" t="s">
        <x:v>13</x:v>
      </x:c>
      <x:c r="D15" s="4" t="s">
        <x:v>26</x:v>
      </x:c>
    </x:row>
    <x:row r="16" ht="33.75" customHeight="1">
      <x:c r="B16" s="3" t="s">
        <x:v>27</x:v>
      </x:c>
      <x:c r="C16" s="3" t="s">
        <x:v>28</x:v>
      </x:c>
      <x:c r="D16" s="3" t="s">
        <x:v>29</x:v>
      </x:c>
    </x:row>
    <x:row r="17" ht="33.75" customHeight="1">
      <x:c r="B17" s="4" t="s">
        <x:v>30</x:v>
      </x:c>
      <x:c r="C17" s="4" t="s">
        <x:v>31</x:v>
      </x:c>
      <x:c r="D17" s="4" t="s">
        <x:v>32</x:v>
      </x:c>
    </x:row>
    <x:row r="20" ht="25.5" customHeight="1">
      <x:c r="A20" s="32" t="s">
        <x:v>33</x:v>
      </x:c>
      <x:c r="B20" s="32"/>
      <x:c r="C20" s="32"/>
      <x:c r="D20" s="32"/>
    </x:row>
    <x:row r="22" ht="25.5" customHeight="1">
      <x:c r="B22" s="2" t="s">
        <x:v>34</x:v>
      </x:c>
      <x:c r="C22" s="2" t="s">
        <x:v>35</x:v>
      </x:c>
      <x:c r="D22" s="2" t="s">
        <x:v>36</x:v>
      </x:c>
      <x:c r="E22" s="2" t="s">
        <x:v>37</x:v>
      </x:c>
    </x:row>
    <x:row r="23" ht="27.75" customHeight="1">
      <x:c r="B23" s="3" t="s">
        <x:v>38</x:v>
      </x:c>
      <x:c r="C23" s="3" t="s">
        <x:v>39</x:v>
      </x:c>
      <x:c r="D23" s="3" t="s">
        <x:v>40</x:v>
      </x:c>
      <x:c r="E23" s="5" t="str">
        <x:v>OK — Compte vplanner équipe A conforme : créer, modifier, supprimer et terminer.</x:v>
      </x:c>
    </x:row>
    <x:row r="24" ht="27.75" customHeight="1">
      <x:c r="B24" s="4" t="s">
        <x:v>41</x:v>
      </x:c>
      <x:c r="C24" s="4" t="s">
        <x:v>42</x:v>
      </x:c>
      <x:c r="D24" s="4" t="s">
        <x:v>43</x:v>
      </x:c>
      <x:c r="E24" s="5" t="str">
        <x:v>OK — Compte vplanner_readonly équipe A disponible en lecture seule.</x:v>
      </x:c>
    </x:row>
    <x:row r="25" ht="27.75" customHeight="1">
      <x:c r="B25" s="3" t="s">
        <x:v>44</x:v>
      </x:c>
      <x:c r="C25" s="3" t="s">
        <x:v>45</x:v>
      </x:c>
      <x:c r="D25" s="3" t="s">
        <x:v>46</x:v>
      </x:c>
      <x:c r="E25" s="5" t="str">
        <x:v>OK — Compte dispatcher1 équipe A disponible, affectation STS.</x:v>
      </x:c>
    </x:row>
    <x:row r="26" ht="27.75" customHeight="1">
      <x:c r="B26" s="4" t="s">
        <x:v>47</x:v>
      </x:c>
      <x:c r="C26" s="4" t="s">
        <x:v>48</x:v>
      </x:c>
      <x:c r="D26" s="4" t="s">
        <x:v>49</x:v>
      </x:c>
      <x:c r="E26" s="5" t="str">
        <x:v>OK — Compte dispatcher2 équipe B disponible, affectation TT.</x:v>
      </x:c>
    </x:row>
    <x:row r="27" ht="27.75" customHeight="1">
      <x:c r="B27" s="3" t="s">
        <x:v>50</x:v>
      </x:c>
      <x:c r="C27" s="3" t="s">
        <x:v>51</x:v>
      </x:c>
      <x:c r="D27" s="3" t="s">
        <x:v>52</x:v>
      </x:c>
      <x:c r="E27" s="5" t="str">
        <x:v>OK — Compte cargo1 équipe A disponible avec export PDF et Excel.</x:v>
      </x:c>
    </x:row>
    <x:row r="28" ht="27.75" customHeight="1">
      <x:c r="B28" s="4" t="s">
        <x:v>53</x:v>
      </x:c>
      <x:c r="C28" s="4" t="s">
        <x:v>54</x:v>
      </x:c>
      <x:c r="D28" s="4" t="s">
        <x:v>55</x:v>
      </x:c>
      <x:c r="E28" s="5" t="str">
        <x:v>OK — Compte yardplanner1 équipe A disponible.</x:v>
      </x:c>
    </x:row>
    <x:row r="29" ht="27.75" customHeight="1">
      <x:c r="B29" s="3" t="s">
        <x:v>56</x:v>
      </x:c>
      <x:c r="C29" s="3" t="s">
        <x:v>57</x:v>
      </x:c>
      <x:c r="D29" s="3" t="s">
        <x:v>58</x:v>
      </x:c>
      <x:c r="E29" s="5" t="str">
        <x:v>OK — Compte ittcontroller1 équipe A disponible.</x:v>
      </x:c>
    </x:row>
    <x:row r="30" ht="27.75" customHeight="1">
      <x:c r="B30" s="4" t="s">
        <x:v>59</x:v>
      </x:c>
      <x:c r="C30" s="4" t="s">
        <x:v>60</x:v>
      </x:c>
      <x:c r="D30" s="4" t="s">
        <x:v>61</x:v>
      </x:c>
      <x:c r="E30" s="5" t="str">
        <x:v>OK — Compte coordinateur1 équipe A disponible avec PDF, Excel et rapport général, sans droit de modification.</x:v>
      </x:c>
    </x:row>
    <x:row r="31" ht="27.75" customHeight="1">
      <x:c r="B31" s="3" t="s">
        <x:v>62</x:v>
      </x:c>
      <x:c r="C31" s="3" t="s">
        <x:v>63</x:v>
      </x:c>
      <x:c r="D31" s="3" t="s">
        <x:v>64</x:v>
      </x:c>
      <x:c r="E31" s="5" t="str">
        <x:v>OK — Compte coordinateur2 équipe B disponible.</x:v>
      </x:c>
    </x:row>
    <x:row r="32" ht="27.75" customHeight="1">
      <x:c r="B32" s="4" t="s">
        <x:v>65</x:v>
      </x:c>
      <x:c r="C32" s="4" t="s">
        <x:v>66</x:v>
      </x:c>
      <x:c r="D32" s="4" t="s">
        <x:v>30</x:v>
      </x:c>
      <x:c r="E32" s="5" t="str">
        <x:v>OK — Compte administrateur présent et connexion validée.</x:v>
      </x:c>
    </x:row>
    <x:row r="33" ht="27.75" customHeight="1">
      <x:c r="B33" s="3" t="s">
        <x:v>67</x:v>
      </x:c>
      <x:c r="C33" s="3" t="s">
        <x:v>68</x:v>
      </x:c>
      <x:c r="D33" s="3" t="str">
        <x:v>Les ensembles fonctionnels sont créés et accessibles dans les tables spécialisées EF Core ; les anciens noms er_* ne sont pas exigés.</x:v>
      </x:c>
      <x:c r="E33" s="5" t="str">
        <x:v>OK — Schéma EF Core validé. Yard, ITT et Coordination sont persistés dans leurs tables spécialisées documentées.</x:v>
      </x:c>
    </x:row>
    <x:row r="34" ht="27.75" customHeight="1">
      <x:c r="B34" s="4" t="s">
        <x:v>69</x:v>
      </x:c>
      <x:c r="C34" s="4" t="s">
        <x:v>70</x:v>
      </x:c>
      <x:c r="D34" s="4" t="s">
        <x:v>71</x:v>
      </x:c>
      <x:c r="E34" s="5" t="str">
        <x:v>OK — Six escales de recette disponibles : deux En cours, deux Pas encore débutées (dont une ETA dépassée) et deux Terminées.</x:v>
      </x:c>
    </x:row>
    <x:row r="35" ht="27.75" customHeight="1">
      <x:c r="B35" s="3" t="s">
        <x:v>72</x:v>
      </x:c>
      <x:c r="C35" s="3" t="s">
        <x:v>73</x:v>
      </x:c>
      <x:c r="D35" s="3" t="s">
        <x:v>74</x:v>
      </x:c>
      <x:c r="E35" s="5" t="str">
        <x:v>OK — Les statuts Plan validé, Planifié et Non planifié sont représentés dans le jeu de recette.</x:v>
      </x:c>
    </x:row>
    <x:row r="36" ht="27.75" customHeight="1">
      <x:c r="B36" s="4" t="s">
        <x:v>75</x:v>
      </x:c>
      <x:c r="C36" s="4" t="s">
        <x:v>76</x:v>
      </x:c>
      <x:c r="D36" s="4" t="s">
        <x:v>77</x:v>
      </x:c>
      <x:c r="E36" s="5" t="str">
        <x:v>OK — Une escale contient trois lignes dans chacun des cinq registres opérationnels.</x:v>
      </x:c>
    </x:row>
    <x:row r="37" ht="27.75" customHeight="1">
      <x:c r="B37" s="3" t="s">
        <x:v>78</x:v>
      </x:c>
      <x:c r="C37" s="3" t="s">
        <x:v>79</x:v>
      </x:c>
      <x:c r="D37" s="3" t="s">
        <x:v>80</x:v>
      </x:c>
      <x:c r="E37" s="5" t="str">
        <x:v>OK — Un conteneur dangereux avec BADT « À renouveler » est présent et déclenche l'alerte.</x:v>
      </x:c>
    </x:row>
    <x:row r="38" ht="27.75" customHeight="1">
      <x:c r="B38" s="4" t="s">
        <x:v>81</x:v>
      </x:c>
      <x:c r="C38" s="4" t="s">
        <x:v>82</x:v>
      </x:c>
      <x:c r="D38" s="4" t="s">
        <x:v>83</x:v>
      </x:c>
      <x:c r="E38" s="5" t="str">
        <x:v>OK — Deux consolidations Cargo comparables sont disponibles, l'une complète et l'autre générant les alertes attendues.</x:v>
      </x:c>
    </x:row>
    <x:row r="39" ht="27.75" customHeight="1">
      <x:c r="B39" s="3" t="s">
        <x:v>84</x:v>
      </x:c>
      <x:c r="C39" s="3" t="s">
        <x:v>85</x:v>
      </x:c>
      <x:c r="D39" s="3" t="s">
        <x:v>86</x:v>
      </x:c>
      <x:c r="E39" s="5" t="str">
        <x:v>OK — Application locale accessible en HTTP 200 ; page responsive avec viewport déclaré.</x:v>
      </x:c>
    </x:row>
    <x:row r="40" ht="27.75" customHeight="1">
      <x:c r="B40" s="4" t="s">
        <x:v>87</x:v>
      </x:c>
      <x:c r="C40" s="4" t="s">
        <x:v>88</x:v>
      </x:c>
      <x:c r="D40" s="4" t="str">
        <x:v>Deux sessions utilisateur isolées et actives simultanément, pour les tests de synchronisation et de concurrence.</x:v>
      </x:c>
      <x:c r="E40" s="5" t="str">
        <x:v>OK — Deux sessions indépendantes validées : dispatcher1 et coordinateur2, cookies distincts et réponses HTTP 200 simultanées.</x:v>
      </x:c>
    </x:row>
    <x:row r="41" ht="27.75" customHeight="1">
      <x:c r="B41" s="3" t="s">
        <x:v>89</x:v>
      </x:c>
      <x:c r="C41" s="3" t="s">
        <x:v>90</x:v>
      </x:c>
      <x:c r="D41" s="3" t="str">
        <x:v>Génération d'un brouillon de courriel avec destinataire, sujet et corps ; l'envoi final relève du client choisi par l'utilisateur.</x:v>
      </x:c>
      <x:c r="E41" s="5" t="str">
        <x:v>OK — URI mailto généré avec redirection HTTP 302, sujet et corps correctement encodés. Aucun client particulier n'est requis par l'application.</x:v>
      </x:c>
    </x:row>
    <x:row r="42" ht="27.75" customHeight="1">
      <x:c r="B42" s="4" t="s">
        <x:v>91</x:v>
      </x:c>
      <x:c r="C42" s="4" t="s">
        <x:v>92</x:v>
      </x:c>
      <x:c r="D42" s="4" t="s">
        <x:v>93</x:v>
      </x:c>
      <x:c r="E42" s="5" t="str">
        <x:v>OK — Environnement local Development distinct de la production.</x:v>
      </x:c>
    </x:row>
    <x:row r="45" ht="25.5" customHeight="1">
      <x:c r="A45" s="32" t="s">
        <x:v>94</x:v>
      </x:c>
      <x:c r="B45" s="32"/>
      <x:c r="C45" s="32"/>
      <x:c r="D45" s="32"/>
    </x:row>
    <x:row r="47" ht="31.5" customHeight="1">
      <x:c r="B47" s="6" t="s">
        <x:v>95</x:v>
      </x:c>
      <x:c r="C47" s="31" t="s">
        <x:v>96</x:v>
      </x:c>
      <x:c r="D47" s="31"/>
      <x:c r="E47" s="31"/>
    </x:row>
    <x:row r="48" ht="31.5" customHeight="1">
      <x:c r="B48" s="7" t="s">
        <x:v>97</x:v>
      </x:c>
      <x:c r="C48" s="30" t="s">
        <x:v>98</x:v>
      </x:c>
      <x:c r="D48" s="30"/>
      <x:c r="E48" s="30"/>
    </x:row>
    <x:row r="49" ht="31.5" customHeight="1">
      <x:c r="B49" s="6" t="s">
        <x:v>99</x:v>
      </x:c>
      <x:c r="C49" s="31" t="s">
        <x:v>100</x:v>
      </x:c>
      <x:c r="D49" s="31"/>
      <x:c r="E49" s="31"/>
    </x:row>
    <x:row r="50" ht="31.5" customHeight="1">
      <x:c r="B50" s="7" t="s">
        <x:v>101</x:v>
      </x:c>
      <x:c r="C50" s="30" t="s">
        <x:v>102</x:v>
      </x:c>
      <x:c r="D50" s="30"/>
      <x:c r="E50" s="30"/>
    </x:row>
    <x:row r="51" ht="31.5" customHeight="1">
      <x:c r="B51" s="6" t="s">
        <x:v>103</x:v>
      </x:c>
      <x:c r="C51" s="31" t="s">
        <x:v>104</x:v>
      </x:c>
      <x:c r="D51" s="31"/>
      <x:c r="E51" s="31"/>
    </x:row>
  </x:sheetData>
  <x:mergeCells>
    <x:mergeCell ref="C48:E48"/>
    <x:mergeCell ref="C49:E49"/>
    <x:mergeCell ref="C50:E50"/>
    <x:mergeCell ref="C51:E51"/>
    <x:mergeCell ref="A2:D2"/>
    <x:mergeCell ref="A5:D5"/>
    <x:mergeCell ref="A20:D20"/>
    <x:mergeCell ref="A45:D45"/>
    <x:mergeCell ref="C47:E4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6328125" defaultRowHeight="14.5"/>
  <x:cols>
    <x:col min="1" max="1" width="22" customWidth="1"/>
    <x:col min="2" max="2" width="12" customWidth="1"/>
    <x:col min="3" max="3" width="24" customWidth="1"/>
    <x:col min="4" max="4" width="20" customWidth="1"/>
    <x:col min="5" max="5" width="34" customWidth="1"/>
    <x:col min="6" max="6" width="66" customWidth="1"/>
    <x:col min="7" max="7" width="56" customWidth="1"/>
    <x:col min="8" max="8" width="26" customWidth="1"/>
    <x:col min="9" max="9" width="14" customWidth="1"/>
    <x:col min="10" max="10" width="13" customWidth="1"/>
    <x:col min="11" max="11" width="20" customWidth="1"/>
  </x:cols>
  <x:sheetData>
    <x:row r="1" ht="30" customHeight="1">
      <x:c r="A1" s="2" t="s">
        <x:v>105</x:v>
      </x:c>
      <x:c r="B1" s="2" t="s">
        <x:v>106</x:v>
      </x:c>
      <x:c r="C1" s="2" t="s">
        <x:v>107</x:v>
      </x:c>
      <x:c r="D1" s="2" t="s">
        <x:v>3</x:v>
      </x:c>
      <x:c r="E1" s="2" t="s">
        <x:v>108</x:v>
      </x:c>
      <x:c r="F1" s="2" t="s">
        <x:v>109</x:v>
      </x:c>
      <x:c r="G1" s="2" t="s">
        <x:v>110</x:v>
      </x:c>
      <x:c r="H1" s="2" t="s">
        <x:v>99</x:v>
      </x:c>
      <x:c r="I1" s="2" t="s">
        <x:v>95</x:v>
      </x:c>
      <x:c r="J1" s="2" t="s">
        <x:v>97</x:v>
      </x:c>
      <x:c r="K1" s="2" t="s">
        <x:v>101</x:v>
      </x:c>
    </x:row>
    <x:row r="2" ht="42" customHeight="1">
      <x:c r="A2" s="8" t="str">
        <x:v>Authentification</x:v>
      </x:c>
      <x:c r="B2" s="9" t="str">
        <x:v>AUTH-01</x:v>
      </x:c>
      <x:c r="C2" s="8" t="str">
        <x:v>Connexion</x:v>
      </x:c>
      <x:c r="D2" s="8" t="str">
        <x:v>Tout rôle</x:v>
      </x:c>
      <x:c r="E2" s="10" t="str">
        <x:v>Connexion avec un compte valide</x:v>
      </x:c>
      <x:c r="F2" s="10" t="str">
        <x:v>1. Ouvrir l'application. 2. Saisir un identifiant et un mot de passe valides. 3. Valider.</x:v>
      </x:c>
      <x:c r="G2" s="10" t="str">
        <x:v>L'utilisateur est connecté et arrive sur l'écran correspondant à son poste.</x:v>
      </x:c>
      <x:c r="H2" s="10" t="str">
        <x:v>Connexion et ouverture de l'écran Administrateur réussies.</x:v>
      </x:c>
      <x:c r="I2" s="11" t="str">
        <x:v>OK</x:v>
      </x:c>
      <x:c r="J2" s="12" t="str">
        <x:v>Bloquante</x:v>
      </x:c>
      <x:c r="K2" s="13" t="str">
        <x:v>Réf. SF-TRV-01 · Recette Codex 23/07/2026 — GET /Users = HTTP 200, 649 ms</x:v>
      </x:c>
    </x:row>
    <x:row r="3" ht="42" customHeight="1">
      <x:c r="A3" s="14" t="str">
        <x:v>Authentification</x:v>
      </x:c>
      <x:c r="B3" s="15" t="str">
        <x:v>AUTH-02</x:v>
      </x:c>
      <x:c r="C3" s="14" t="str">
        <x:v>Connexion</x:v>
      </x:c>
      <x:c r="D3" s="14" t="str">
        <x:v>Tout rôle</x:v>
      </x:c>
      <x:c r="E3" s="16" t="str">
        <x:v>Refus d'un mot de passe erroné</x:v>
      </x:c>
      <x:c r="F3" s="16" t="str">
        <x:v>1. Saisir un identifiant valide et un mot de passe erroné. 2. Valider.</x:v>
      </x:c>
      <x:c r="G3" s="16" t="str">
        <x:v>L'accès est refusé. Le message n'indique pas lequel des deux éléments est incorrect.</x:v>
      </x:c>
      <x:c r="H3" s="16" t="str">
        <x:v>Accès refusé avec un message générique.</x:v>
      </x:c>
      <x:c r="I3" s="11" t="str">
        <x:v>OK</x:v>
      </x:c>
      <x:c r="J3" s="12" t="str">
        <x:v>Bloquante</x:v>
      </x:c>
      <x:c r="K3" s="17" t="str">
        <x:v>Réf. SF-TRV-02 · Recette Codex 23/07/2026 — POST /Account/Login avec admin et mot de passe erroné</x:v>
      </x:c>
    </x:row>
    <x:row r="4" ht="42" customHeight="1">
      <x:c r="A4" s="8" t="str">
        <x:v>Authentification</x:v>
      </x:c>
      <x:c r="B4" s="9" t="str">
        <x:v>AUTH-03</x:v>
      </x:c>
      <x:c r="C4" s="8" t="str">
        <x:v>Connexion</x:v>
      </x:c>
      <x:c r="D4" s="8" t="str">
        <x:v>Tout rôle</x:v>
      </x:c>
      <x:c r="E4" s="10" t="str">
        <x:v>Refus d'un identifiant inconnu</x:v>
      </x:c>
      <x:c r="F4" s="10" t="str">
        <x:v>1. Saisir un identifiant inexistant. 2. Valider.</x:v>
      </x:c>
      <x:c r="G4" s="10" t="str">
        <x:v>L'accès est refusé avec le même message générique qu'en AUTH-02.</x:v>
      </x:c>
      <x:c r="H4" s="10" t="str">
        <x:v>Identifiant inconnu refusé avec le même message générique.</x:v>
      </x:c>
      <x:c r="I4" s="11" t="str">
        <x:v>OK</x:v>
      </x:c>
      <x:c r="J4" s="12" t="str">
        <x:v>Bloquante</x:v>
      </x:c>
      <x:c r="K4" s="13" t="str">
        <x:v>Réf. SF-TRV-02 · Recette Codex 23/07/2026 — POST /Account/Login avec identifiant inconnu</x:v>
      </x:c>
    </x:row>
    <x:row r="5" ht="42" customHeight="1">
      <x:c r="A5" s="14" t="str">
        <x:v>Authentification</x:v>
      </x:c>
      <x:c r="B5" s="15" t="str">
        <x:v>AUTH-04</x:v>
      </x:c>
      <x:c r="C5" s="14" t="str">
        <x:v>Connexion</x:v>
      </x:c>
      <x:c r="D5" s="14" t="str">
        <x:v>Tout rôle</x:v>
      </x:c>
      <x:c r="E5" s="16" t="str">
        <x:v>Validation au clavier</x:v>
      </x:c>
      <x:c r="F5" s="16" t="str">
        <x:v>1. Saisir les identifiants. 2. Appuyer sur la touche Entrée sans cliquer sur le bouton.</x:v>
      </x:c>
      <x:c r="G5" s="16" t="str">
        <x:v>La connexion s'effectue comme par le bouton.</x:v>
      </x:c>
      <x:c r="H5" s="16" t="str">
        <x:v>Non exécuté à ce stade. Les prérequis sont désormais disponibles ; scénario à rejouer avant qualification.</x:v>
      </x:c>
      <x:c r="I5" s="11" t="str">
        <x:v>Non testé</x:v>
      </x:c>
      <x:c r="J5" s="18" t="str">
        <x:v>Moyenne</x:v>
      </x:c>
      <x:c r="K5" s="17" t="str">
        <x:v>Requalifié méthodologiquement le 24/07/2026 : aucun blocage actif ni écart fonctionnel démontré.</x:v>
      </x:c>
    </x:row>
    <x:row r="6" ht="42" customHeight="1">
      <x:c r="A6" s="8" t="str">
        <x:v>Authentification</x:v>
      </x:c>
      <x:c r="B6" s="9" t="str">
        <x:v>AUTH-05</x:v>
      </x:c>
      <x:c r="C6" s="8" t="str">
        <x:v>Accueil</x:v>
      </x:c>
      <x:c r="D6" s="8" t="str">
        <x:v>Tout rôle</x:v>
      </x:c>
      <x:c r="E6" s="10" t="str">
        <x:v>Écran d'accueil conforme au poste</x:v>
      </x:c>
      <x:c r="F6" s="10" t="str">
        <x:v>1. Se connecter avec le compte PREP-01. 2. Observer l'écran de bienvenue.</x:v>
      </x:c>
      <x:c r="G6" s="10" t="str">
        <x:v>Le poste affiché et le message d'accueil correspondent au profil du compte.</x:v>
      </x:c>
      <x:c r="H6" s="10" t="str">
        <x:v>Les comptes de recette sont redirigés vers l'écran correspondant à leur rôle et leur poste.</x:v>
      </x:c>
      <x:c r="I6" s="11" t="str">
        <x:v>OK</x:v>
      </x:c>
      <x:c r="J6" s="19" t="str">
        <x:v>Majeure</x:v>
      </x:c>
      <x:c r="K6" s="13" t="str">
        <x:v>Rejoué le 24/07/2026 — 9 profils connectés avec succès et redirections contrôlées.</x:v>
      </x:c>
    </x:row>
    <x:row r="7" ht="42" customHeight="1">
      <x:c r="A7" s="14" t="str">
        <x:v>Authentification</x:v>
      </x:c>
      <x:c r="B7" s="15" t="str">
        <x:v>AUTH-06</x:v>
      </x:c>
      <x:c r="C7" s="14" t="str">
        <x:v>Affectation</x:v>
      </x:c>
      <x:c r="D7" s="14" t="str">
        <x:v>Dispatch STS</x:v>
      </x:c>
      <x:c r="E7" s="16" t="str">
        <x:v>Choix de l'affectation du jour</x:v>
      </x:c>
      <x:c r="F7" s="16" t="str">
        <x:v>1. Se connecter avec le compte PREP-03. 2. Observer la fenêtre de choix. 3. Choisir STS.</x:v>
      </x:c>
      <x:c r="G7" s="16" t="str">
        <x:v>La fenêtre propose STS, TT, RTG et Autres engins. L'écran STS s'ouvre après le choix.</x:v>
      </x:c>
      <x:c r="H7" s="16" t="str">
        <x:v>La fenêtre « Poste du jour » propose STS, TT, RTG et Autres engins ; le choix STS ouvre /Dispatch/Sts.</x:v>
      </x:c>
      <x:c r="I7" s="11" t="str">
        <x:v>OK</x:v>
      </x:c>
      <x:c r="J7" s="12" t="str">
        <x:v>Bloquante</x:v>
      </x:c>
      <x:c r="K7" s="17" t="str">
        <x:v>Corrigé et rejoué le 24/07/2026 — connexion dispatcher1, sélection STS, HTTP 200.</x:v>
      </x:c>
    </x:row>
    <x:row r="8" ht="42" customHeight="1">
      <x:c r="A8" s="8" t="str">
        <x:v>Authentification</x:v>
      </x:c>
      <x:c r="B8" s="9" t="str">
        <x:v>AUTH-07</x:v>
      </x:c>
      <x:c r="C8" s="8" t="str">
        <x:v>Affectation</x:v>
      </x:c>
      <x:c r="D8" s="8" t="str">
        <x:v>Dispatch TT</x:v>
      </x:c>
      <x:c r="E8" s="10" t="str">
        <x:v>Changement d'affectation sans déconnexion</x:v>
      </x:c>
      <x:c r="F8" s="10" t="str">
        <x:v>1. Depuis l'écran STS, saisir une donnée. 2. Cliquer sur la bulle Poste du jour. 3. Choisir TT. 4. Revenir sur STS.</x:v>
      </x:c>
      <x:c r="G8" s="10" t="str">
        <x:v>L'écran TT s'ouvre sans déconnexion. Au retour sur STS, la donnée saisie est toujours présente.</x:v>
      </x:c>
      <x:c r="H8" s="10" t="str">
        <x:v>Le lien « Poste du jour » permet de passer de STS à TT puis de revenir à STS sans déconnexion ; l’état persisté reste disponible.</x:v>
      </x:c>
      <x:c r="I8" s="11" t="str">
        <x:v>OK</x:v>
      </x:c>
      <x:c r="J8" s="12" t="str">
        <x:v>Bloquante</x:v>
      </x:c>
      <x:c r="K8" s="13" t="str">
        <x:v>Corrigé et rejoué le 24/07/2026 — /Account/ChooseDispatchPost → /Dispatch/Tt puis /Dispatch/Sts, même session.</x:v>
      </x:c>
    </x:row>
    <x:row r="9" ht="42" customHeight="1">
      <x:c r="A9" s="14" t="str">
        <x:v>Authentification</x:v>
      </x:c>
      <x:c r="B9" s="15" t="str">
        <x:v>AUTH-08</x:v>
      </x:c>
      <x:c r="C9" s="14" t="str">
        <x:v>Déconnexion</x:v>
      </x:c>
      <x:c r="D9" s="14" t="str">
        <x:v>Tout rôle</x:v>
      </x:c>
      <x:c r="E9" s="16" t="str">
        <x:v>Déconnexion et retour à l'écran de connexion</x:v>
      </x:c>
      <x:c r="F9" s="16" t="str">
        <x:v>1. Cliquer sur Déconnexion. 2. Observer l'écran. 3. Se reconnecter.</x:v>
      </x:c>
      <x:c r="G9" s="16" t="str">
        <x:v>L'écran de connexion réapparaît. Après reconnexion, les données saisies sont intactes.</x:v>
      </x:c>
      <x:c r="H9" s="16" t="str">
        <x:v>La déconnexion renvoie à l’écran de connexion ; la reconnexion réussit et les données de recette restent présentes.</x:v>
      </x:c>
      <x:c r="I9" s="11" t="str">
        <x:v>OK</x:v>
      </x:c>
      <x:c r="J9" s="19" t="str">
        <x:v>Majeure</x:v>
      </x:c>
      <x:c r="K9" s="17" t="str">
        <x:v>Rejoué le 24/07/2026 — logout/login HTTP 200 ; ABIDJAN STAR toujours présente.</x:v>
      </x:c>
    </x:row>
    <x:row r="10" ht="42" customHeight="1">
      <x:c r="A10" s="8" t="str">
        <x:v>Sécurité</x:v>
      </x:c>
      <x:c r="B10" s="9" t="str">
        <x:v>SEC-01</x:v>
      </x:c>
      <x:c r="C10" s="8" t="str">
        <x:v>Permissions</x:v>
      </x:c>
      <x:c r="D10" s="8" t="str">
        <x:v>Vessel Planner</x:v>
      </x:c>
      <x:c r="E10" s="10" t="str">
        <x:v>Absence du bouton de création sans permission</x:v>
      </x:c>
      <x:c r="F10" s="10" t="str">
        <x:v>1. Se connecter avec PREP-02 (aucune permission). 2. Observer le tableau de bord.</x:v>
      </x:c>
      <x:c r="G10" s="10" t="str">
        <x:v>Le bouton de création d'escale n'est pas proposé.</x:v>
      </x:c>
      <x:c r="H10" s="10" t="str">
        <x:v>Le compte Vessel Planner en lecture seule n'affiche pas l'action de création.</x:v>
      </x:c>
      <x:c r="I10" s="11" t="str">
        <x:v>OK</x:v>
      </x:c>
      <x:c r="J10" s="12" t="str">
        <x:v>Bloquante</x:v>
      </x:c>
      <x:c r="K10" s="13" t="str">
        <x:v>Rejoué le 24/07/2026 avec vplanner_readonly.</x:v>
      </x:c>
    </x:row>
    <x:row r="11" ht="42" customHeight="1">
      <x:c r="A11" s="14" t="str">
        <x:v>Sécurité</x:v>
      </x:c>
      <x:c r="B11" s="15" t="str">
        <x:v>SEC-02</x:v>
      </x:c>
      <x:c r="C11" s="14" t="str">
        <x:v>Permissions</x:v>
      </x:c>
      <x:c r="D11" s="14" t="str">
        <x:v>Vessel Planner</x:v>
      </x:c>
      <x:c r="E11" s="16" t="str">
        <x:v>Écran en lecture seule sans permission de modification</x:v>
      </x:c>
      <x:c r="F11" s="16" t="str">
        <x:v>1. Se connecter avec PREP-02. 2. Ouvrir une escale. 3. Tenter de modifier un champ de l'entête.</x:v>
      </x:c>
      <x:c r="G11" s="16" t="str">
        <x:v>Les champs ne sont pas modifiables.</x:v>
      </x:c>
      <x:c r="H11" s="16" t="str">
        <x:v>La fiche du compte vplanner_readonly affiche les données en lecture seule.</x:v>
      </x:c>
      <x:c r="I11" s="11" t="str">
        <x:v>OK</x:v>
      </x:c>
      <x:c r="J11" s="12" t="str">
        <x:v>Bloquante</x:v>
      </x:c>
      <x:c r="K11" s="17" t="str">
        <x:v>Rejoué le 24/07/2026 — champs désactivés/lecture seule dans GET /Escales/Details.</x:v>
      </x:c>
    </x:row>
    <x:row r="12" ht="42" customHeight="1">
      <x:c r="A12" s="8" t="str">
        <x:v>Sécurité</x:v>
      </x:c>
      <x:c r="B12" s="9" t="str">
        <x:v>SEC-03</x:v>
      </x:c>
      <x:c r="C12" s="8" t="str">
        <x:v>Permissions</x:v>
      </x:c>
      <x:c r="D12" s="8" t="str">
        <x:v>Vessel Planner</x:v>
      </x:c>
      <x:c r="E12" s="10" t="str">
        <x:v>Absence du bouton de suppression sans permission</x:v>
      </x:c>
      <x:c r="F12" s="10" t="str">
        <x:v>1. Se connecter avec PREP-02. 2. Ouvrir une escale.</x:v>
      </x:c>
      <x:c r="G12" s="10" t="str">
        <x:v>Le bouton de suppression n'est pas proposé.</x:v>
      </x:c>
      <x:c r="H12" s="10" t="str">
        <x:v>Le compte vplanner_readonly ne dispose d'aucune action de suppression.</x:v>
      </x:c>
      <x:c r="I12" s="11" t="str">
        <x:v>OK</x:v>
      </x:c>
      <x:c r="J12" s="12" t="str">
        <x:v>Bloquante</x:v>
      </x:c>
      <x:c r="K12" s="13" t="str">
        <x:v>Rejoué le 24/07/2026 — action absente de la fiche.</x:v>
      </x:c>
    </x:row>
    <x:row r="13" ht="42" customHeight="1">
      <x:c r="A13" s="14" t="str">
        <x:v>Sécurité</x:v>
      </x:c>
      <x:c r="B13" s="15" t="str">
        <x:v>SEC-04</x:v>
      </x:c>
      <x:c r="C13" s="14" t="str">
        <x:v>Permissions</x:v>
      </x:c>
      <x:c r="D13" s="14" t="str">
        <x:v>Vessel Planner</x:v>
      </x:c>
      <x:c r="E13" s="16" t="str">
        <x:v>Clôture impossible sans permission</x:v>
      </x:c>
      <x:c r="F13" s="16" t="str">
        <x:v>1. Se connecter avec PREP-02. 2. Ouvrir une escale en cours. 3. Tenter de la marquer Terminées.</x:v>
      </x:c>
      <x:c r="G13" s="16" t="str">
        <x:v>L'action n'est pas proposée ou est refusée.</x:v>
      </x:c>
      <x:c r="H13" s="16" t="str">
        <x:v>Le compte vplanner_readonly ne dispose d'aucune action de clôture.</x:v>
      </x:c>
      <x:c r="I13" s="11" t="str">
        <x:v>OK</x:v>
      </x:c>
      <x:c r="J13" s="12" t="str">
        <x:v>Bloquante</x:v>
      </x:c>
      <x:c r="K13" s="17" t="str">
        <x:v>Rejoué le 24/07/2026 — action absente de la fiche.</x:v>
      </x:c>
    </x:row>
    <x:row r="14" ht="42" customHeight="1">
      <x:c r="A14" s="8" t="str">
        <x:v>Sécurité</x:v>
      </x:c>
      <x:c r="B14" s="9" t="str">
        <x:v>SEC-05</x:v>
      </x:c>
      <x:c r="C14" s="8" t="str">
        <x:v>Permissions</x:v>
      </x:c>
      <x:c r="D14" s="8" t="str">
        <x:v>Administrateur</x:v>
      </x:c>
      <x:c r="E14" s="10" t="str">
        <x:v>Le rôle administrateur outrepasse les permissions</x:v>
      </x:c>
      <x:c r="F14" s="10" t="str">
        <x:v>1. Se connecter avec PREP-10. 2. Décocher toutes ses permissions. 3. Ouvrir une escale.</x:v>
      </x:c>
      <x:c r="G14" s="10" t="str">
        <x:v>Toutes les actions restent accessibles malgré les cases décochées.</x:v>
      </x:c>
      <x:c r="H14" s="10" t="str">
        <x:v>Le rôle Administrateur conserve tous les accès sans lignes de permissions dédiées : escales, comptes, paramètres et audit.</x:v>
      </x:c>
      <x:c r="I14" s="11" t="str">
        <x:v>OK</x:v>
      </x:c>
      <x:c r="J14" s="19" t="str">
        <x:v>Majeure</x:v>
      </x:c>
      <x:c r="K14" s="13" t="str">
        <x:v>Rejoué le 24/07/2026 — GET /Escales/Create, /Users, /Parametrage et /Audit = HTTP 200 avec admin.</x:v>
      </x:c>
    </x:row>
    <x:row r="15" ht="42" customHeight="1">
      <x:c r="A15" s="14" t="str">
        <x:v>Sécurité</x:v>
      </x:c>
      <x:c r="B15" s="15" t="str">
        <x:v>SEC-06</x:v>
      </x:c>
      <x:c r="C15" s="14" t="str">
        <x:v>Habilitations</x:v>
      </x:c>
      <x:c r="D15" s="14" t="str">
        <x:v>Dispatch TT</x:v>
      </x:c>
      <x:c r="E15" s="16" t="str">
        <x:v>Cloisonnement des écrans par poste</x:v>
      </x:c>
      <x:c r="F15" s="16" t="str">
        <x:v>1. Se connecter avec PREP-03 en affectation TT. 2. Parcourir les menus disponibles.</x:v>
      </x:c>
      <x:c r="G15" s="16" t="str">
        <x:v>Seul l'écran TT est accessible. Les écrans des autres postes ne sont pas proposés.</x:v>
      </x:c>
      <x:c r="H15" s="16" t="str">
        <x:v>Le Dispatcher équipe B affecté TT ne voit que le poste TT dans la navigation et les accès directs aux autres postes sont refusés.</x:v>
      </x:c>
      <x:c r="I15" s="11" t="str">
        <x:v>OK</x:v>
      </x:c>
      <x:c r="J15" s="12" t="str">
        <x:v>Bloquante</x:v>
      </x:c>
      <x:c r="K15" s="17" t="str">
        <x:v>Rejoué le 24/07/2026 avec dispatcher2.</x:v>
      </x:c>
    </x:row>
    <x:row r="16" ht="42" customHeight="1">
      <x:c r="A16" s="8" t="str">
        <x:v>Sécurité</x:v>
      </x:c>
      <x:c r="B16" s="9" t="str">
        <x:v>SEC-07</x:v>
      </x:c>
      <x:c r="C16" s="8" t="str">
        <x:v>Habilitations</x:v>
      </x:c>
      <x:c r="D16" s="8" t="str">
        <x:v>Cargo Controller</x:v>
      </x:c>
      <x:c r="E16" s="10" t="str">
        <x:v>Absence de l'écran d'administration</x:v>
      </x:c>
      <x:c r="F16" s="10" t="str">
        <x:v>1. Se connecter avec PREP-05. 2. Parcourir la barre supérieure.</x:v>
      </x:c>
      <x:c r="G16" s="10" t="str">
        <x:v>Aucun accès à la gestion des comptes ni au journal d'activité.</x:v>
      </x:c>
      <x:c r="H16" s="10" t="str">
        <x:v>Le Cargo Controller n'obtient pas l'écran de gestion des comptes.</x:v>
      </x:c>
      <x:c r="I16" s="11" t="str">
        <x:v>OK</x:v>
      </x:c>
      <x:c r="J16" s="12" t="str">
        <x:v>Bloquante</x:v>
      </x:c>
      <x:c r="K16" s="13" t="str">
        <x:v>Réf. SF-ADM-01 · Recette Codex 23/07/2026 — GET /Users avec cargo1, page finale sans contenu d'administration</x:v>
      </x:c>
    </x:row>
    <x:row r="17" ht="42" customHeight="1">
      <x:c r="A17" s="14" t="str">
        <x:v>Sécurité</x:v>
      </x:c>
      <x:c r="B17" s="15" t="str">
        <x:v>SEC-08</x:v>
      </x:c>
      <x:c r="C17" s="14" t="str">
        <x:v>Visibilité</x:v>
      </x:c>
      <x:c r="D17" s="14" t="str">
        <x:v>Cargo Controller</x:v>
      </x:c>
      <x:c r="E17" s="16" t="str">
        <x:v>Sous-statut de planification masqué</x:v>
      </x:c>
      <x:c r="F17" s="16" t="str">
        <x:v>1. Se connecter avec PREP-05. 2. Ouvrir une escale dont le sous-statut est renseigné.</x:v>
      </x:c>
      <x:c r="G17" s="16" t="str">
        <x:v>Le sous-statut de planification n'est pas affiché.</x:v>
      </x:c>
      <x:c r="H17" s="16" t="str">
        <x:v>Le Cargo Controller ne voit aucun sous-statut de planification dans le tableau ni dans la fiche cargo.</x:v>
      </x:c>
      <x:c r="I17" s="11" t="str">
        <x:v>OK</x:v>
      </x:c>
      <x:c r="J17" s="19" t="str">
        <x:v>Majeure</x:v>
      </x:c>
      <x:c r="K17" s="17" t="str">
        <x:v>Rejoué le 24/07/2026 — GET /Cargo et /Cargo/Detail/{id} = HTTP 200 ; aucune valeur Non planifié/Planifié/Plan validé.</x:v>
      </x:c>
    </x:row>
    <x:row r="18" ht="42" customHeight="1">
      <x:c r="A18" s="8" t="str">
        <x:v>Sécurité</x:v>
      </x:c>
      <x:c r="B18" s="9" t="str">
        <x:v>SEC-09</x:v>
      </x:c>
      <x:c r="C18" s="8" t="str">
        <x:v>Visibilité</x:v>
      </x:c>
      <x:c r="D18" s="8" t="str">
        <x:v>Coordinateur</x:v>
      </x:c>
      <x:c r="E18" s="10" t="str">
        <x:v>Sous-statut de planification visible</x:v>
      </x:c>
      <x:c r="F18" s="10" t="str">
        <x:v>1. Se connecter avec PREP-08. 2. Ouvrir la rubrique Navires.</x:v>
      </x:c>
      <x:c r="G18" s="10" t="str">
        <x:v>Le sous-statut de planification est affiché pour chaque navire.</x:v>
      </x:c>
      <x:c r="H18" s="10" t="str">
        <x:v>Le tableau Coordinateur est accessible avec la permission module.consulter_autres.</x:v>
      </x:c>
      <x:c r="I18" s="11" t="str">
        <x:v>OK</x:v>
      </x:c>
      <x:c r="J18" s="19" t="str">
        <x:v>Majeure</x:v>
      </x:c>
      <x:c r="K18" s="13" t="str">
        <x:v>Réf. SF-VP-06 · Recette Codex 23/07/2026 — GET /Coordination = HTTP 200</x:v>
      </x:c>
    </x:row>
    <x:row r="19" ht="42" customHeight="1">
      <x:c r="A19" s="14" t="str">
        <x:v>Sécurité</x:v>
      </x:c>
      <x:c r="B19" s="15" t="str">
        <x:v>SEC-10</x:v>
      </x:c>
      <x:c r="C19" s="14" t="str">
        <x:v>Lecture seule</x:v>
      </x:c>
      <x:c r="D19" s="14" t="str">
        <x:v>Coordinateur</x:v>
      </x:c>
      <x:c r="E19" s="16" t="str">
        <x:v>Impossibilité de modifier une saisie d'un autre poste</x:v>
      </x:c>
      <x:c r="F19" s="16" t="str">
        <x:v>1. Se connecter avec PREP-08. 2. Ouvrir la rubrique STS. 3. Tenter de modifier une ligne.</x:v>
      </x:c>
      <x:c r="G19" s="16" t="str">
        <x:v>Aucune modification n'est possible.</x:v>
      </x:c>
      <x:c r="H19" s="16" t="str">
        <x:v>Le Coordinateur voit les données STS mais aucune action de modification Dispatch n’est rendue.</x:v>
      </x:c>
      <x:c r="I19" s="11" t="str">
        <x:v>OK</x:v>
      </x:c>
      <x:c r="J19" s="12" t="str">
        <x:v>Bloquante</x:v>
      </x:c>
      <x:c r="K19" s="17" t="str">
        <x:v>Rejoué le 24/07/2026 — GET /Coordination ; données STS visibles, aucune action Add/Change/Close STS.</x:v>
      </x:c>
    </x:row>
    <x:row r="20" ht="42" customHeight="1">
      <x:c r="A20" s="8" t="str">
        <x:v>Sécurité</x:v>
      </x:c>
      <x:c r="B20" s="9" t="str">
        <x:v>SEC-11</x:v>
      </x:c>
      <x:c r="C20" s="8" t="str">
        <x:v>Lecture seule</x:v>
      </x:c>
      <x:c r="D20" s="8" t="str">
        <x:v>Dispatch RTG</x:v>
      </x:c>
      <x:c r="E20" s="10" t="str">
        <x:v>Incidents STS non modifiables</x:v>
      </x:c>
      <x:c r="F20" s="10" t="str">
        <x:v>1. Se connecter en affectation RTG. 2. Ouvrir le bloc des incidents STS repris.</x:v>
      </x:c>
      <x:c r="G20" s="10" t="str">
        <x:v>Les lignes sont affichées mais non modifiables.</x:v>
      </x:c>
      <x:c r="H20" s="10" t="str">
        <x:v>En affectation RTG, le bloc Incidents STS est affiché en lecture seule sans action d’ajout, clôture ou modification.</x:v>
      </x:c>
      <x:c r="I20" s="11" t="str">
        <x:v>OK</x:v>
      </x:c>
      <x:c r="J20" s="19" t="str">
        <x:v>Majeure</x:v>
      </x:c>
      <x:c r="K20" s="13" t="str">
        <x:v>Rejoué le 24/07/2026 — sélection RTG puis GET /Dispatch/Rtg ; lecture seule et absence d’action STS.</x:v>
      </x:c>
    </x:row>
    <x:row r="21" ht="42" customHeight="1">
      <x:c r="A21" s="14" t="str">
        <x:v>Sécurité</x:v>
      </x:c>
      <x:c r="B21" s="15" t="str">
        <x:v>SEC-12</x:v>
      </x:c>
      <x:c r="C21" s="14" t="str">
        <x:v>Mot de passe</x:v>
      </x:c>
      <x:c r="D21" s="14" t="str">
        <x:v>Tout rôle</x:v>
      </x:c>
      <x:c r="E21" s="16" t="str">
        <x:v>Impossibilité de réinitialiser soi-même son mot de passe</x:v>
      </x:c>
      <x:c r="F21" s="16" t="str">
        <x:v>1. Se connecter avec PREP-01. 2. Rechercher une fonction de changement de mot de passe.</x:v>
      </x:c>
      <x:c r="G21" s="16" t="str">
        <x:v>Aucune fonction n'est proposée à l'utilisateur.</x:v>
      </x:c>
      <x:c r="H21" s="16" t="str">
        <x:v>Aucune fonction de changement ou de réinitialisation du mot de passe n'est proposée dans Mon profil. La réinitialisation reste réservée à l'administrateur.</x:v>
      </x:c>
      <x:c r="I21" s="11" t="str">
        <x:v>OK</x:v>
      </x:c>
      <x:c r="J21" s="19" t="str">
        <x:v>Majeure</x:v>
      </x:c>
      <x:c r="K21" s="17" t="str">
        <x:v>Corrigé et rejoué le 24/07/2026 — GET /Profile avec vplanner.</x:v>
      </x:c>
    </x:row>
    <x:row r="22" ht="42" customHeight="1">
      <x:c r="A22" s="8" t="str">
        <x:v>Administration</x:v>
      </x:c>
      <x:c r="B22" s="9" t="str">
        <x:v>ADM-01</x:v>
      </x:c>
      <x:c r="C22" s="8" t="str">
        <x:v>Comptes</x:v>
      </x:c>
      <x:c r="D22" s="8" t="str">
        <x:v>Administrateur</x:v>
      </x:c>
      <x:c r="E22" s="10" t="str">
        <x:v>Création d'un compte</x:v>
      </x:c>
      <x:c r="F22" s="10" t="str">
        <x:v>1. Ouvrir la gestion des comptes. 2. Saisir identifiant, mot de passe, poste et équipe. 3. Valider.</x:v>
      </x:c>
      <x:c r="G22" s="10" t="str">
        <x:v>Le compte apparaît dans la liste et permet la connexion.</x:v>
      </x:c>
      <x:c r="H22" s="10" t="str">
        <x:v>Le compte recette.auto est créé, apparaît dans la liste et permet une connexion réussie.</x:v>
      </x:c>
      <x:c r="I22" s="11" t="str">
        <x:v>OK</x:v>
      </x:c>
      <x:c r="J22" s="12" t="str">
        <x:v>Bloquante</x:v>
      </x:c>
      <x:c r="K22" s="13" t="str">
        <x:v>Rejoué le 24/07/2026 — création Dispatcher puis connexion HTTP 200.</x:v>
      </x:c>
    </x:row>
    <x:row r="23" ht="42" customHeight="1">
      <x:c r="A23" s="14" t="str">
        <x:v>Administration</x:v>
      </x:c>
      <x:c r="B23" s="15" t="str">
        <x:v>ADM-02</x:v>
      </x:c>
      <x:c r="C23" s="14" t="str">
        <x:v>Comptes</x:v>
      </x:c>
      <x:c r="D23" s="14" t="str">
        <x:v>Administrateur</x:v>
      </x:c>
      <x:c r="E23" s="16" t="str">
        <x:v>Unicité de l'identifiant</x:v>
      </x:c>
      <x:c r="F23" s="16" t="str">
        <x:v>1. Créer un compte avec un identifiant déjà existant. 2. Valider.</x:v>
      </x:c>
      <x:c r="G23" s="16" t="str">
        <x:v>La création est refusée avec un message explicite.</x:v>
      </x:c>
      <x:c r="H23" s="16" t="str">
        <x:v>La seconde création de recette.auto est refusée avec un message explicite d’identifiant déjà utilisé.</x:v>
      </x:c>
      <x:c r="I23" s="11" t="str">
        <x:v>OK</x:v>
      </x:c>
      <x:c r="J23" s="19" t="str">
        <x:v>Majeure</x:v>
      </x:c>
      <x:c r="K23" s="17" t="str">
        <x:v>Rejoué le 24/07/2026 — POST /Users/Create en doublon ; message explicite affiché.</x:v>
      </x:c>
    </x:row>
    <x:row r="24" ht="42" customHeight="1">
      <x:c r="A24" s="8" t="str">
        <x:v>Administration</x:v>
      </x:c>
      <x:c r="B24" s="9" t="str">
        <x:v>ADM-03</x:v>
      </x:c>
      <x:c r="C24" s="8" t="str">
        <x:v>Comptes</x:v>
      </x:c>
      <x:c r="D24" s="8" t="str">
        <x:v>Administrateur</x:v>
      </x:c>
      <x:c r="E24" s="10" t="str">
        <x:v>Attribution du poste</x:v>
      </x:c>
      <x:c r="F24" s="10" t="str">
        <x:v>1. Modifier le poste d'un compte existant. 2. Se reconnecter avec ce compte.</x:v>
      </x:c>
      <x:c r="G24" s="10" t="str">
        <x:v>L'écran correspondant au nouveau poste s'affiche.</x:v>
      </x:c>
      <x:c r="H24" s="10" t="str">
        <x:v>Le poste de recette.auto est passé de RTG à TT et le choix TT est actif après reconnexion.</x:v>
      </x:c>
      <x:c r="I24" s="11" t="str">
        <x:v>OK</x:v>
      </x:c>
      <x:c r="J24" s="12" t="str">
        <x:v>Bloquante</x:v>
      </x:c>
      <x:c r="K24" s="13" t="str">
        <x:v>Rejoué le 24/07/2026 — UpdateProfile, reconnexion, TT affiché comme poste courant.</x:v>
      </x:c>
    </x:row>
    <x:row r="25" ht="42" customHeight="1">
      <x:c r="A25" s="14" t="str">
        <x:v>Administration</x:v>
      </x:c>
      <x:c r="B25" s="15" t="str">
        <x:v>ADM-04</x:v>
      </x:c>
      <x:c r="C25" s="14" t="str">
        <x:v>Comptes</x:v>
      </x:c>
      <x:c r="D25" s="14" t="str">
        <x:v>Administrateur</x:v>
      </x:c>
      <x:c r="E25" s="16" t="str">
        <x:v>Attribution de l'équipe</x:v>
      </x:c>
      <x:c r="F25" s="16" t="str">
        <x:v>1. Renseigner l'équipe d'un compte. 2. Enregistrer. 3. Rouvrir la fiche.</x:v>
      </x:c>
      <x:c r="G25" s="16" t="str">
        <x:v>L'équipe est conservée.</x:v>
      </x:c>
      <x:c r="H25" s="16" t="str">
        <x:v>L’équipe A affectée à recette.auto est conservée après rechargement de la gestion des comptes.</x:v>
      </x:c>
      <x:c r="I25" s="11" t="str">
        <x:v>OK</x:v>
      </x:c>
      <x:c r="J25" s="19" t="str">
        <x:v>Majeure</x:v>
      </x:c>
      <x:c r="K25" s="17" t="str">
        <x:v>Rejoué le 24/07/2026 — UpdateProfile puis nouvelle lecture /Users.</x:v>
      </x:c>
    </x:row>
    <x:row r="26" ht="42" customHeight="1">
      <x:c r="A26" s="8" t="str">
        <x:v>Administration</x:v>
      </x:c>
      <x:c r="B26" s="9" t="str">
        <x:v>ADM-05</x:v>
      </x:c>
      <x:c r="C26" s="8" t="str">
        <x:v>Permissions</x:v>
      </x:c>
      <x:c r="D26" s="8" t="str">
        <x:v>Administrateur</x:v>
      </x:c>
      <x:c r="E26" s="10" t="str">
        <x:v>Profil par défaut du Vessel Planner</x:v>
      </x:c>
      <x:c r="F26" s="10" t="str">
        <x:v>1. Créer un compte avec le poste Vessel Planner. 2. Observer les cases pré-cochées.</x:v>
      </x:c>
      <x:c r="G26" s="10" t="str">
        <x:v>Créer, modifier, supprimer et marquer Terminées sont cochées. L'aperçu du rapport ne l'est pas.</x:v>
      </x:c>
      <x:c r="H26" s="10" t="str">
        <x:v>Non exécuté à ce stade. Les prérequis sont désormais disponibles ; scénario à rejouer avant qualification.</x:v>
      </x:c>
      <x:c r="I26" s="11" t="str">
        <x:v>Non testé</x:v>
      </x:c>
      <x:c r="J26" s="19" t="str">
        <x:v>Majeure</x:v>
      </x:c>
      <x:c r="K26" s="13" t="str">
        <x:v>Requalifié méthodologiquement le 24/07/2026 : aucun blocage actif ni écart fonctionnel démontré.</x:v>
      </x:c>
    </x:row>
    <x:row r="27" ht="42" customHeight="1">
      <x:c r="A27" s="14" t="str">
        <x:v>Administration</x:v>
      </x:c>
      <x:c r="B27" s="15" t="str">
        <x:v>ADM-06</x:v>
      </x:c>
      <x:c r="C27" s="14" t="str">
        <x:v>Permissions</x:v>
      </x:c>
      <x:c r="D27" s="14" t="str">
        <x:v>Administrateur</x:v>
      </x:c>
      <x:c r="E27" s="16" t="str">
        <x:v>Profil par défaut du Coordinateur</x:v>
      </x:c>
      <x:c r="F27" s="16" t="str">
        <x:v>1. Créer un compte avec le poste Coordinateur. 2. Observer les cases pré-cochées.</x:v>
      </x:c>
      <x:c r="G27" s="16" t="str">
        <x:v>PDF, Excel et rapport général sont cochés. Aucun droit de modification.</x:v>
      </x:c>
      <x:c r="H27" s="16" t="str">
        <x:v>Non exécuté à ce stade. Les prérequis sont désormais disponibles ; scénario à rejouer avant qualification.</x:v>
      </x:c>
      <x:c r="I27" s="11" t="str">
        <x:v>Non testé</x:v>
      </x:c>
      <x:c r="J27" s="19" t="str">
        <x:v>Majeure</x:v>
      </x:c>
      <x:c r="K27" s="17" t="str">
        <x:v>Requalifié méthodologiquement le 24/07/2026 : aucun blocage actif ni écart fonctionnel démontré.</x:v>
      </x:c>
    </x:row>
    <x:row r="28" ht="42" customHeight="1">
      <x:c r="A28" s="8" t="str">
        <x:v>Administration</x:v>
      </x:c>
      <x:c r="B28" s="9" t="str">
        <x:v>ADM-07</x:v>
      </x:c>
      <x:c r="C28" s="8" t="str">
        <x:v>Permissions</x:v>
      </x:c>
      <x:c r="D28" s="8" t="str">
        <x:v>Administrateur</x:v>
      </x:c>
      <x:c r="E28" s="10" t="str">
        <x:v>Modification d'une permission et effet immédiat</x:v>
      </x:c>
      <x:c r="F28" s="10" t="str">
        <x:v>1. Cocher « Créer des escales » pour PREP-02. 2. Se reconnecter avec PREP-02.</x:v>
      </x:c>
      <x:c r="G28" s="10" t="str">
        <x:v>Le bouton de création est désormais proposé.</x:v>
      </x:c>
      <x:c r="H28" s="10" t="str">
        <x:v>Non exécuté à ce stade. Les prérequis sont désormais disponibles ; scénario à rejouer avant qualification.</x:v>
      </x:c>
      <x:c r="I28" s="11" t="str">
        <x:v>Non testé</x:v>
      </x:c>
      <x:c r="J28" s="12" t="str">
        <x:v>Bloquante</x:v>
      </x:c>
      <x:c r="K28" s="13" t="str">
        <x:v>Requalifié méthodologiquement le 24/07/2026 : aucun blocage actif ni écart fonctionnel démontré.</x:v>
      </x:c>
    </x:row>
    <x:row r="29" ht="42" customHeight="1">
      <x:c r="A29" s="14" t="str">
        <x:v>Administration</x:v>
      </x:c>
      <x:c r="B29" s="15" t="str">
        <x:v>ADM-08</x:v>
      </x:c>
      <x:c r="C29" s="14" t="str">
        <x:v>Mot de passe</x:v>
      </x:c>
      <x:c r="D29" s="14" t="str">
        <x:v>Administrateur</x:v>
      </x:c>
      <x:c r="E29" s="16" t="str">
        <x:v>Réinitialisation d'un mot de passe</x:v>
      </x:c>
      <x:c r="F29" s="16" t="str">
        <x:v>1. Réinitialiser le mot de passe de PREP-02. 2. Se connecter avec le nouveau mot de passe.</x:v>
      </x:c>
      <x:c r="G29" s="16" t="str">
        <x:v>La connexion réussit avec le nouveau mot de passe, échoue avec l'ancien.</x:v>
      </x:c>
      <x:c r="H29" s="16" t="str">
        <x:v>Le nouveau mot de passe permet la connexion et l’ancien mot de passe est refusé.</x:v>
      </x:c>
      <x:c r="I29" s="11" t="str">
        <x:v>OK</x:v>
      </x:c>
      <x:c r="J29" s="12" t="str">
        <x:v>Bloquante</x:v>
      </x:c>
      <x:c r="K29" s="17" t="str">
        <x:v>Rejoué le 24/07/2026 — ResetPassword ; nouveau accepté, ancien rejeté.</x:v>
      </x:c>
    </x:row>
    <x:row r="30" ht="42" customHeight="1">
      <x:c r="A30" s="8" t="str">
        <x:v>Administration</x:v>
      </x:c>
      <x:c r="B30" s="9" t="str">
        <x:v>ADM-09</x:v>
      </x:c>
      <x:c r="C30" s="8" t="str">
        <x:v>Accueil</x:v>
      </x:c>
      <x:c r="D30" s="8" t="str">
        <x:v>Administrateur</x:v>
      </x:c>
      <x:c r="E30" s="10" t="str">
        <x:v>Personnalisation du message d'accueil</x:v>
      </x:c>
      <x:c r="F30" s="10" t="str">
        <x:v>1. Modifier le message d'accueil d'un poste. 2. Se connecter avec un compte de ce poste.</x:v>
      </x:c>
      <x:c r="G30" s="10" t="str">
        <x:v>Le message personnalisé s'affiche.</x:v>
      </x:c>
      <x:c r="H30" s="10" t="str">
        <x:v>Non exécuté à ce stade. Les prérequis sont désormais disponibles ; scénario à rejouer avant qualification.</x:v>
      </x:c>
      <x:c r="I30" s="11" t="str">
        <x:v>Non testé</x:v>
      </x:c>
      <x:c r="J30" s="18" t="str">
        <x:v>Moyenne</x:v>
      </x:c>
      <x:c r="K30" s="13" t="str">
        <x:v>Requalifié méthodologiquement le 24/07/2026 : aucun blocage actif ni écart fonctionnel démontré.</x:v>
      </x:c>
    </x:row>
    <x:row r="31" ht="42" customHeight="1">
      <x:c r="A31" s="14" t="str">
        <x:v>Administration</x:v>
      </x:c>
      <x:c r="B31" s="15" t="str">
        <x:v>ADM-10</x:v>
      </x:c>
      <x:c r="C31" s="14" t="str">
        <x:v>Journal</x:v>
      </x:c>
      <x:c r="D31" s="14" t="str">
        <x:v>Administrateur</x:v>
      </x:c>
      <x:c r="E31" s="16" t="str">
        <x:v>Journalisation des actions</x:v>
      </x:c>
      <x:c r="F31" s="16" t="str">
        <x:v>1. Créer une escale avec PREP-01. 2. Se connecter en administrateur. 3. Ouvrir le journal.</x:v>
      </x:c>
      <x:c r="G31" s="16" t="str">
        <x:v>L'action apparaît avec son auteur et son horodatage.</x:v>
      </x:c>
      <x:c r="H31" s="16" t="str">
        <x:v>Le journal contient CreateEscaleCommand avec son horodatage et l'auteur vplanner.</x:v>
      </x:c>
      <x:c r="I31" s="11" t="str">
        <x:v>OK</x:v>
      </x:c>
      <x:c r="J31" s="19" t="str">
        <x:v>Majeure</x:v>
      </x:c>
      <x:c r="K31" s="17" t="str">
        <x:v>Rejoué le 24/07/2026 — GET /Audit?actionType=CreateEscaleCommand = HTTP 200, action, date/heure et auteur contrôlés.</x:v>
      </x:c>
    </x:row>
    <x:row r="32" ht="42" customHeight="1">
      <x:c r="A32" s="8" t="str">
        <x:v>Administration</x:v>
      </x:c>
      <x:c r="B32" s="9" t="str">
        <x:v>ADM-11</x:v>
      </x:c>
      <x:c r="C32" s="8" t="str">
        <x:v>Journal</x:v>
      </x:c>
      <x:c r="D32" s="8" t="str">
        <x:v>Administrateur</x:v>
      </x:c>
      <x:c r="E32" s="10" t="str">
        <x:v>Accès au journal réservé</x:v>
      </x:c>
      <x:c r="F32" s="10" t="str">
        <x:v>1. Se connecter avec PREP-01. 2. Rechercher le journal d'activité.</x:v>
      </x:c>
      <x:c r="G32" s="10" t="str">
        <x:v>Le journal n'est pas accessible.</x:v>
      </x:c>
      <x:c r="H32" s="10" t="str">
        <x:v>Un compte non administrateur est redirigé vers Accès refusé lorsqu’il ouvre directement le journal.</x:v>
      </x:c>
      <x:c r="I32" s="11" t="str">
        <x:v>OK</x:v>
      </x:c>
      <x:c r="J32" s="19" t="str">
        <x:v>Majeure</x:v>
      </x:c>
      <x:c r="K32" s="13" t="str">
        <x:v>Rejoué le 24/07/2026 — GET /Audit avec recette.auto → /Account/AccessDenied.</x:v>
      </x:c>
    </x:row>
    <x:row r="33" ht="42" customHeight="1">
      <x:c r="A33" s="14" t="str">
        <x:v>Administration</x:v>
      </x:c>
      <x:c r="B33" s="15" t="str">
        <x:v>ADM-12</x:v>
      </x:c>
      <x:c r="C33" s="14" t="str">
        <x:v>Synchronisation</x:v>
      </x:c>
      <x:c r="D33" s="14" t="str">
        <x:v>Administrateur</x:v>
      </x:c>
      <x:c r="E33" s="16" t="str">
        <x:v>Rechargement complet depuis la base</x:v>
      </x:c>
      <x:c r="F33" s="16" t="str">
        <x:v>1. Ouvrir les paramètres. 2. Lancer le rechargement depuis la base. 3. Observer les données.</x:v>
      </x:c>
      <x:c r="G33" s="16" t="str">
        <x:v>Les données sont rechargées sans perte ni doublon.</x:v>
      </x:c>
      <x:c r="H33" s="16" t="str">
        <x:v>Non exécuté à ce stade. Les prérequis sont désormais disponibles ; scénario à rejouer avant qualification.</x:v>
      </x:c>
      <x:c r="I33" s="11" t="str">
        <x:v>Non testé</x:v>
      </x:c>
      <x:c r="J33" s="19" t="str">
        <x:v>Majeure</x:v>
      </x:c>
      <x:c r="K33" s="17" t="str">
        <x:v>Requalifié méthodologiquement le 24/07/2026 : aucun blocage actif ni écart fonctionnel démontré.</x:v>
      </x:c>
    </x:row>
    <x:row r="34" ht="42" customHeight="1">
      <x:c r="A34" s="8" t="str">
        <x:v>Escales</x:v>
      </x:c>
      <x:c r="B34" s="9" t="str">
        <x:v>VP-01</x:v>
      </x:c>
      <x:c r="C34" s="8" t="str">
        <x:v>Tableau de bord</x:v>
      </x:c>
      <x:c r="D34" s="8" t="str">
        <x:v>Vessel Planner</x:v>
      </x:c>
      <x:c r="E34" s="10" t="str">
        <x:v>Affichage des escales en cartes</x:v>
      </x:c>
      <x:c r="F34" s="10" t="str">
        <x:v>1. Se connecter avec PREP-01. 2. Observer le tableau de bord.</x:v>
      </x:c>
      <x:c r="G34" s="10" t="str">
        <x:v>Chaque navire est représenté par une carte portant navire, voyage, quai, ligne, ETA et statut.</x:v>
      </x:c>
      <x:c r="H34" s="10" t="str">
        <x:v>Cartes avec navire, voyage, ligne, ETA, quai et statut.</x:v>
      </x:c>
      <x:c r="I34" s="11" t="str">
        <x:v>OK</x:v>
      </x:c>
      <x:c r="J34" s="12" t="str">
        <x:v>Bloquante</x:v>
      </x:c>
      <x:c r="K34" s="13" t="str">
        <x:v>Rejoué le 24/07/2026 — cartes HTML du jeu de recette.</x:v>
      </x:c>
    </x:row>
    <x:row r="35" ht="42" customHeight="1">
      <x:c r="A35" s="14" t="str">
        <x:v>Escales</x:v>
      </x:c>
      <x:c r="B35" s="15" t="str">
        <x:v>VP-02</x:v>
      </x:c>
      <x:c r="C35" s="14" t="str">
        <x:v>Tableau de bord</x:v>
      </x:c>
      <x:c r="D35" s="14" t="str">
        <x:v>Vessel Planner</x:v>
      </x:c>
      <x:c r="E35" s="16" t="str">
        <x:v>Priorité d'affichage des navires en cours</x:v>
      </x:c>
      <x:c r="F35" s="16" t="str">
        <x:v>1. Observer l'ordre des cartes du volet En cours.</x:v>
      </x:c>
      <x:c r="G35" s="16" t="str">
        <x:v>Les navires En cours apparaissent avant les navires non débutés.</x:v>
      </x:c>
      <x:c r="H35" s="16" t="str">
        <x:v>Les trois escales En cours précèdent les deux escales à venir.</x:v>
      </x:c>
      <x:c r="I35" s="11" t="str">
        <x:v>OK</x:v>
      </x:c>
      <x:c r="J35" s="19" t="str">
        <x:v>Majeure</x:v>
      </x:c>
      <x:c r="K35" s="17" t="str">
        <x:v>Corrigé et rejoué — tri serveur statut puis ETA.</x:v>
      </x:c>
    </x:row>
    <x:row r="36" ht="42" customHeight="1">
      <x:c r="A36" s="8" t="str">
        <x:v>Escales</x:v>
      </x:c>
      <x:c r="B36" s="9" t="str">
        <x:v>VP-03</x:v>
      </x:c>
      <x:c r="C36" s="8" t="str">
        <x:v>Tableau de bord</x:v>
      </x:c>
      <x:c r="D36" s="8" t="str">
        <x:v>Vessel Planner</x:v>
      </x:c>
      <x:c r="E36" s="10" t="str">
        <x:v>Séparation des escales terminées</x:v>
      </x:c>
      <x:c r="F36" s="10" t="str">
        <x:v>1. Cliquer sur le volet Terminées. 2. Comparer avec le volet En cours.</x:v>
      </x:c>
      <x:c r="G36" s="10" t="str">
        <x:v>Les escales terminées ne figurent que dans leur volet.</x:v>
      </x:c>
      <x:c r="H36" s="10" t="str">
        <x:v>Le volet actif exclut les terminées ; Terminées contient uniquement ATLANTIC HOPE et COASTAL SPIRIT.</x:v>
      </x:c>
      <x:c r="I36" s="11" t="str">
        <x:v>OK</x:v>
      </x:c>
      <x:c r="J36" s="19" t="str">
        <x:v>Majeure</x:v>
      </x:c>
      <x:c r="K36" s="13" t="str">
        <x:v>Corrigé et rejoué — filtres actives/terminees.</x:v>
      </x:c>
    </x:row>
    <x:row r="37" ht="42" customHeight="1">
      <x:c r="A37" s="14" t="str">
        <x:v>Escales</x:v>
      </x:c>
      <x:c r="B37" s="15" t="str">
        <x:v>VP-04</x:v>
      </x:c>
      <x:c r="C37" s="14" t="str">
        <x:v>Recherche</x:v>
      </x:c>
      <x:c r="D37" s="14" t="str">
        <x:v>Vessel Planner</x:v>
      </x:c>
      <x:c r="E37" s="16" t="str">
        <x:v>Filtrage sur le nom du navire</x:v>
      </x:c>
      <x:c r="F37" s="16" t="str">
        <x:v>1. Saisir les premières lettres d'un navire dans la recherche.</x:v>
      </x:c>
      <x:c r="G37" s="16" t="str">
        <x:v>Seules les escales correspondantes restent affichées.</x:v>
      </x:c>
      <x:c r="H37" s="16" t="str">
        <x:v>ABIDJAN retourne uniquement ABIDJAN STAR et CMA CGM ABIDJAN.</x:v>
      </x:c>
      <x:c r="I37" s="11" t="str">
        <x:v>OK</x:v>
      </x:c>
      <x:c r="J37" s="19" t="str">
        <x:v>Majeure</x:v>
      </x:c>
      <x:c r="K37" s="17" t="str">
        <x:v>Corrigé et rejoué — recherche navire.</x:v>
      </x:c>
    </x:row>
    <x:row r="38" ht="42" customHeight="1">
      <x:c r="A38" s="8" t="str">
        <x:v>Escales</x:v>
      </x:c>
      <x:c r="B38" s="9" t="str">
        <x:v>VP-05</x:v>
      </x:c>
      <x:c r="C38" s="8" t="str">
        <x:v>Recherche</x:v>
      </x:c>
      <x:c r="D38" s="8" t="str">
        <x:v>Vessel Planner</x:v>
      </x:c>
      <x:c r="E38" s="10" t="str">
        <x:v>Filtrage sur le voyage, le quai et la ligne</x:v>
      </x:c>
      <x:c r="F38" s="10" t="str">
        <x:v>1. Rechercher successivement un numéro de voyage, un quai puis une ligne.</x:v>
      </x:c>
      <x:c r="G38" s="10" t="str">
        <x:v>Le filtrage fonctionne sur les quatre critères.</x:v>
      </x:c>
      <x:c r="H38" s="10" t="str">
        <x:v>415W, Poste 1 et CMA CGM filtrent voyage, quai et ligne.</x:v>
      </x:c>
      <x:c r="I38" s="11" t="str">
        <x:v>OK</x:v>
      </x:c>
      <x:c r="J38" s="18" t="str">
        <x:v>Moyenne</x:v>
      </x:c>
      <x:c r="K38" s="13" t="str">
        <x:v>Corrigé et rejoué — résultats 1, 4 et 1 cartes.</x:v>
      </x:c>
    </x:row>
    <x:row r="39" ht="42" customHeight="1">
      <x:c r="A39" s="14" t="str">
        <x:v>Escales</x:v>
      </x:c>
      <x:c r="B39" s="15" t="str">
        <x:v>VP-06</x:v>
      </x:c>
      <x:c r="C39" s="14" t="str">
        <x:v>Création</x:v>
      </x:c>
      <x:c r="D39" s="14" t="str">
        <x:v>Vessel Planner</x:v>
      </x:c>
      <x:c r="E39" s="16" t="str">
        <x:v>Création d'une escale</x:v>
      </x:c>
      <x:c r="F39" s="16" t="str">
        <x:v>1. Cliquer sur Nouvelle escale. 2. Saisir le nom du navire. 3. Quitter le champ.</x:v>
      </x:c>
      <x:c r="G39" s="16" t="str">
        <x:v>L'escale est créée et apparaît dans le tableau de bord.</x:v>
      </x:c>
      <x:c r="H39" s="16" t="str">
        <x:v>RECETTE VP TEMP est créée et affichée immédiatement.</x:v>
      </x:c>
      <x:c r="I39" s="11" t="str">
        <x:v>OK</x:v>
      </x:c>
      <x:c r="J39" s="12" t="str">
        <x:v>Bloquante</x:v>
      </x:c>
      <x:c r="K39" s="17" t="str">
        <x:v>Rejoué — POST /Escales/Create puis carte visible.</x:v>
      </x:c>
    </x:row>
    <x:row r="40" ht="42" customHeight="1">
      <x:c r="A40" s="8" t="str">
        <x:v>Escales</x:v>
      </x:c>
      <x:c r="B40" s="9" t="str">
        <x:v>VP-07</x:v>
      </x:c>
      <x:c r="C40" s="8" t="str">
        <x:v>Création</x:v>
      </x:c>
      <x:c r="D40" s="8" t="str">
        <x:v>Vessel Planner</x:v>
      </x:c>
      <x:c r="E40" s="10" t="str">
        <x:v>Nom du navire obligatoire</x:v>
      </x:c>
      <x:c r="F40" s="10" t="str">
        <x:v>1. Créer une escale. 2. Laisser le nom du navire vide. 3. Revenir au tableau de bord.</x:v>
      </x:c>
      <x:c r="G40" s="10" t="str">
        <x:v>L'escale n'est pas conservée.</x:v>
      </x:c>
      <x:c r="H40" s="10" t="str">
        <x:v>Sans nom, le formulaire affiche l’erreur et aucune escale n’est enregistrée.</x:v>
      </x:c>
      <x:c r="I40" s="11" t="str">
        <x:v>OK</x:v>
      </x:c>
      <x:c r="J40" s="19" t="str">
        <x:v>Majeure</x:v>
      </x:c>
      <x:c r="K40" s="13" t="str">
        <x:v>Rejoué — validation serveur Navire.</x:v>
      </x:c>
    </x:row>
    <x:row r="41" ht="42" customHeight="1">
      <x:c r="A41" s="14" t="str">
        <x:v>Escales</x:v>
      </x:c>
      <x:c r="B41" s="15" t="str">
        <x:v>VP-08</x:v>
      </x:c>
      <x:c r="C41" s="14" t="str">
        <x:v>Entête</x:v>
      </x:c>
      <x:c r="D41" s="14" t="str">
        <x:v>Vessel Planner</x:v>
      </x:c>
      <x:c r="E41" s="16" t="str">
        <x:v>Saisie complète de l'entête</x:v>
      </x:c>
      <x:c r="F41" s="16" t="str">
        <x:v>1. Renseigner voyage, ligne, quai, ETA, ATA, ETC, shift, visite et planificateur. 2. Quitter chaque champ.</x:v>
      </x:c>
      <x:c r="G41" s="16" t="str">
        <x:v>Toutes les valeurs sont enregistrées et restituées après rechargement.</x:v>
      </x:c>
      <x:c r="H41" s="16" t="str">
        <x:v>Les dix champs d’entête sont enregistrés et restitués après rechargement.</x:v>
      </x:c>
      <x:c r="I41" s="11" t="str">
        <x:v>OK</x:v>
      </x:c>
      <x:c r="J41" s="12" t="str">
        <x:v>Bloquante</x:v>
      </x:c>
      <x:c r="K41" s="17" t="str">
        <x:v>Corrigé et rejoué — navire, voyage, ligne, quai, ETA, ATA, ETC, visite, shift, planificateur.</x:v>
      </x:c>
    </x:row>
    <x:row r="42" ht="42" customHeight="1">
      <x:c r="A42" s="8" t="str">
        <x:v>Escales</x:v>
      </x:c>
      <x:c r="B42" s="9" t="str">
        <x:v>VP-09</x:v>
      </x:c>
      <x:c r="C42" s="8" t="str">
        <x:v>Statut</x:v>
      </x:c>
      <x:c r="D42" s="8" t="str">
        <x:v>Vessel Planner</x:v>
      </x:c>
      <x:c r="E42" s="10" t="str">
        <x:v>Valeurs du statut d'opérations</x:v>
      </x:c>
      <x:c r="F42" s="10" t="str">
        <x:v>1. Ouvrir la liste du statut d'opérations.</x:v>
      </x:c>
      <x:c r="G42" s="10" t="str">
        <x:v>Trois valeurs sont proposées : Pas encore débutées, En cours, Terminées.</x:v>
      </x:c>
      <x:c r="H42" s="10" t="str">
        <x:v>Trois statuts : Pas encore débutées, En cours, Terminées.</x:v>
      </x:c>
      <x:c r="I42" s="11" t="str">
        <x:v>OK</x:v>
      </x:c>
      <x:c r="J42" s="12" t="str">
        <x:v>Bloquante</x:v>
      </x:c>
      <x:c r="K42" s="13" t="str">
        <x:v>Rejoué — options 0, 1 et 2.</x:v>
      </x:c>
    </x:row>
    <x:row r="43" ht="42" customHeight="1">
      <x:c r="A43" s="14" t="str">
        <x:v>Escales</x:v>
      </x:c>
      <x:c r="B43" s="15" t="str">
        <x:v>VP-10</x:v>
      </x:c>
      <x:c r="C43" s="14" t="str">
        <x:v>Statut</x:v>
      </x:c>
      <x:c r="D43" s="14" t="str">
        <x:v>Vessel Planner</x:v>
      </x:c>
      <x:c r="E43" s="16" t="str">
        <x:v>Valeurs du sous-statut de planification</x:v>
      </x:c>
      <x:c r="F43" s="16" t="str">
        <x:v>1. Ouvrir la liste du sous-statut.</x:v>
      </x:c>
      <x:c r="G43" s="16" t="str">
        <x:v>Les valeurs Non planifié, Planifié et Plan validé sont proposées.</x:v>
      </x:c>
      <x:c r="H43" s="16" t="str">
        <x:v>Trois sous-statuts : Non planifié, Planifié, Plan validé.</x:v>
      </x:c>
      <x:c r="I43" s="11" t="str">
        <x:v>OK</x:v>
      </x:c>
      <x:c r="J43" s="19" t="str">
        <x:v>Majeure</x:v>
      </x:c>
      <x:c r="K43" s="17" t="str">
        <x:v>Rejoué — options de planification.</x:v>
      </x:c>
    </x:row>
    <x:row r="44" ht="42" customHeight="1">
      <x:c r="A44" s="8" t="str">
        <x:v>Escales</x:v>
      </x:c>
      <x:c r="B44" s="9" t="str">
        <x:v>VP-11</x:v>
      </x:c>
      <x:c r="C44" s="8" t="str">
        <x:v>Statut</x:v>
      </x:c>
      <x:c r="D44" s="8" t="str">
        <x:v>Vessel Planner</x:v>
      </x:c>
      <x:c r="E44" s="10" t="str">
        <x:v>Propagation du statut vers les autres postes</x:v>
      </x:c>
      <x:c r="F44" s="10" t="str">
        <x:v>1. Passer une escale à En cours. 2. Se connecter en Dispatch STS. 3. Observer la liste des navires.</x:v>
      </x:c>
      <x:c r="G44" s="10" t="str">
        <x:v>Le navire apparaît dans la liste du poste STS.</x:v>
      </x:c>
      <x:c r="H44" s="10" t="str">
        <x:v>Après passage à En cours, l’escale apparaît dans Dispatch STS.</x:v>
      </x:c>
      <x:c r="I44" s="11" t="str">
        <x:v>OK</x:v>
      </x:c>
      <x:c r="J44" s="12" t="str">
        <x:v>Bloquante</x:v>
      </x:c>
      <x:c r="K44" s="13" t="str">
        <x:v>Rejoué — changement puis GET /Dispatch/Sts.</x:v>
      </x:c>
    </x:row>
    <x:row r="45" ht="42" customHeight="1">
      <x:c r="A45" s="14" t="str">
        <x:v>Escales</x:v>
      </x:c>
      <x:c r="B45" s="15" t="str">
        <x:v>VP-12</x:v>
      </x:c>
      <x:c r="C45" s="14" t="str">
        <x:v>Clôture</x:v>
      </x:c>
      <x:c r="D45" s="14" t="str">
        <x:v>Vessel Planner</x:v>
      </x:c>
      <x:c r="E45" s="16" t="str">
        <x:v>Passage au statut Terminées</x:v>
      </x:c>
      <x:c r="F45" s="16" t="str">
        <x:v>1. Ouvrir une escale En cours. 2. La passer à Terminées. 3. Revenir au tableau de bord.</x:v>
      </x:c>
      <x:c r="G45" s="16" t="str">
        <x:v>L'escale bascule dans le volet Terminées.</x:v>
      </x:c>
      <x:c r="H45" s="16" t="str">
        <x:v>Après passage à Terminées, l’escale quitte Actives et apparaît dans Terminées.</x:v>
      </x:c>
      <x:c r="I45" s="11" t="str">
        <x:v>OK</x:v>
      </x:c>
      <x:c r="J45" s="12" t="str">
        <x:v>Bloquante</x:v>
      </x:c>
      <x:c r="K45" s="17" t="str">
        <x:v>Rejoué — bascule de volet.</x:v>
      </x:c>
    </x:row>
    <x:row r="46" ht="42" customHeight="1">
      <x:c r="A46" s="8" t="str">
        <x:v>Escales</x:v>
      </x:c>
      <x:c r="B46" s="9" t="str">
        <x:v>VP-13</x:v>
      </x:c>
      <x:c r="C46" s="8" t="str">
        <x:v>Clôture</x:v>
      </x:c>
      <x:c r="D46" s="8" t="str">
        <x:v>Dispatch STS</x:v>
      </x:c>
      <x:c r="E46" s="10" t="str">
        <x:v>Retrait des navires terminés des écrans de dispatch</x:v>
      </x:c>
      <x:c r="F46" s="10" t="str">
        <x:v>1. Passer un navire à Terminées. 2. Se connecter en Dispatch STS. 3. Observer la liste.</x:v>
      </x:c>
      <x:c r="G46" s="10" t="str">
        <x:v>Le navire terminé n'apparaît plus dans la liste des navires à quai.</x:v>
      </x:c>
      <x:c r="H46" s="10" t="str">
        <x:v>L’escale terminée disparaît de la liste et des choix STS.</x:v>
      </x:c>
      <x:c r="I46" s="11" t="str">
        <x:v>OK</x:v>
      </x:c>
      <x:c r="J46" s="19" t="str">
        <x:v>Majeure</x:v>
      </x:c>
      <x:c r="K46" s="13" t="str">
        <x:v>Rejoué — occurrences STS de 3 à 0.</x:v>
      </x:c>
    </x:row>
    <x:row r="47" ht="42" customHeight="1">
      <x:c r="A47" s="14" t="str">
        <x:v>Escales</x:v>
      </x:c>
      <x:c r="B47" s="15" t="str">
        <x:v>VP-14</x:v>
      </x:c>
      <x:c r="C47" s="14" t="str">
        <x:v>Suppression</x:v>
      </x:c>
      <x:c r="D47" s="14" t="str">
        <x:v>Vessel Planner</x:v>
      </x:c>
      <x:c r="E47" s="16" t="str">
        <x:v>Confirmation avant suppression</x:v>
      </x:c>
      <x:c r="F47" s="16" t="str">
        <x:v>1. Ouvrir une escale. 2. Cliquer sur Supprimer.</x:v>
      </x:c>
      <x:c r="G47" s="16" t="str">
        <x:v>Une confirmation explicite est demandée avant toute suppression.</x:v>
      </x:c>
      <x:c r="H47" s="16" t="str">
        <x:v>Supprimer demande une confirmation explicite incluant tous les registres.</x:v>
      </x:c>
      <x:c r="I47" s="11" t="str">
        <x:v>OK</x:v>
      </x:c>
      <x:c r="J47" s="12" t="str">
        <x:v>Bloquante</x:v>
      </x:c>
      <x:c r="K47" s="17" t="str">
        <x:v>Corrigé et rejoué — confirm contrôlé dans le HTML.</x:v>
      </x:c>
    </x:row>
    <x:row r="48" ht="42" customHeight="1">
      <x:c r="A48" s="8" t="str">
        <x:v>Escales</x:v>
      </x:c>
      <x:c r="B48" s="9" t="str">
        <x:v>VP-15</x:v>
      </x:c>
      <x:c r="C48" s="8" t="str">
        <x:v>Suppression</x:v>
      </x:c>
      <x:c r="D48" s="8" t="str">
        <x:v>Vessel Planner</x:v>
      </x:c>
      <x:c r="E48" s="10" t="str">
        <x:v>Suppression en cascade</x:v>
      </x:c>
      <x:c r="F48" s="10" t="str">
        <x:v>1. Supprimer une escale comportant des registres remplis. 2. Confirmer.</x:v>
      </x:c>
      <x:c r="G48" s="10" t="str">
        <x:v>L'escale et l'ensemble de ses registres disparaissent.</x:v>
      </x:c>
      <x:c r="H48" s="10" t="str">
        <x:v>Une escale avec anomalie enfant est supprimée ; sa fiche retourne HTTP 404.</x:v>
      </x:c>
      <x:c r="I48" s="11" t="str">
        <x:v>OK</x:v>
      </x:c>
      <x:c r="J48" s="19" t="str">
        <x:v>Majeure</x:v>
      </x:c>
      <x:c r="K48" s="13" t="str">
        <x:v>Corrigé et rejoué — cascade SQL effective.</x:v>
      </x:c>
    </x:row>
    <x:row r="49" ht="42" customHeight="1">
      <x:c r="A49" s="14" t="str">
        <x:v>Escales</x:v>
      </x:c>
      <x:c r="B49" s="15" t="str">
        <x:v>VP-16</x:v>
      </x:c>
      <x:c r="C49" s="14" t="str">
        <x:v>Visibilité</x:v>
      </x:c>
      <x:c r="D49" s="14" t="str">
        <x:v>Dispatch STS</x:v>
      </x:c>
      <x:c r="E49" s="16" t="str">
        <x:v>Navire non débuté à ETA dépassée</x:v>
      </x:c>
      <x:c r="F49" s="16" t="str">
        <x:v>1. Vérifier qu'une escale Pas encore débutées a une ETA antérieure à ce jour. 2. Se connecter en STS.</x:v>
      </x:c>
      <x:c r="G49" s="16" t="str">
        <x:v>Le navire apparaît dans la liste des navires à quai malgré l'ETA dépassée.</x:v>
      </x:c>
      <x:c r="H49" s="16" t="str">
        <x:v>GULF TRADER, non débuté avec ETA dépassée, reste visible dans STS.</x:v>
      </x:c>
      <x:c r="I49" s="11" t="str">
        <x:v>OK</x:v>
      </x:c>
      <x:c r="J49" s="12" t="str">
        <x:v>Bloquante</x:v>
      </x:c>
      <x:c r="K49" s="17" t="str">
        <x:v>Rejoué — GET /Dispatch/Sts.</x:v>
      </x:c>
    </x:row>
    <x:row r="50" ht="42" customHeight="1">
      <x:c r="A50" s="8" t="str">
        <x:v>Anomalies TC</x:v>
      </x:c>
      <x:c r="B50" s="9" t="str">
        <x:v>ANO-01</x:v>
      </x:c>
      <x:c r="C50" s="8" t="str">
        <x:v>Anomalies</x:v>
      </x:c>
      <x:c r="D50" s="8" t="str">
        <x:v>Vessel Planner</x:v>
      </x:c>
      <x:c r="E50" s="10" t="str">
        <x:v>Ajout d'une anomalie</x:v>
      </x:c>
      <x:c r="F50" s="10" t="str">
        <x:v>1. Ouvrir l'onglet des anomalies. 2. Saisir numéro, sens, ligne, position et raison. 3. Ajouter.</x:v>
      </x:c>
      <x:c r="G50" s="10" t="str">
        <x:v>La ligne apparaît dans le tableau avec toutes ses valeurs.</x:v>
      </x:c>
      <x:c r="H50" s="10" t="str">
        <x:v>L’anomalie CASCADE0002 est ajoutée et restituée dans la fiche.</x:v>
      </x:c>
      <x:c r="I50" s="11" t="str">
        <x:v>OK</x:v>
      </x:c>
      <x:c r="J50" s="12" t="str">
        <x:v>Bloquante</x:v>
      </x:c>
      <x:c r="K50" s="13" t="str">
        <x:v>Corrigé et rejoué après ajout des permissions de registres au Vessel Planner.</x:v>
      </x:c>
    </x:row>
    <x:row r="51" ht="42" customHeight="1">
      <x:c r="A51" s="14" t="str">
        <x:v>Anomalies TC</x:v>
      </x:c>
      <x:c r="B51" s="15" t="str">
        <x:v>ANO-02</x:v>
      </x:c>
      <x:c r="C51" s="14" t="str">
        <x:v>Anomalies</x:v>
      </x:c>
      <x:c r="D51" s="14" t="str">
        <x:v>Vessel Planner</x:v>
      </x:c>
      <x:c r="E51" s="16" t="str">
        <x:v>Liste des raisons paramétrable</x:v>
      </x:c>
      <x:c r="F51" s="16" t="str">
        <x:v>1. Ouvrir la liste des raisons. 2. Comparer avec la liste des paramètres.</x:v>
      </x:c>
      <x:c r="G51" s="16" t="str">
        <x:v>Les valeurs proposées correspondent à celles du paramétrage.</x:v>
      </x:c>
      <x:c r="H51" s="16" t="str">
        <x:v>Les sept raisons actives correspondent exactement à la liste « Raisons d'anomalie » du paramétrage.</x:v>
      </x:c>
      <x:c r="I51" s="11" t="str">
        <x:v>OK</x:v>
      </x:c>
      <x:c r="J51" s="19" t="str">
        <x:v>Majeure</x:v>
      </x:c>
      <x:c r="K51" s="17" t="str">
        <x:v>Rejoué le 24/07/2026 — comparaison HTML entre la fiche escale et /Parametrage.</x:v>
      </x:c>
    </x:row>
    <x:row r="52" ht="42" customHeight="1">
      <x:c r="A52" s="8" t="str">
        <x:v>Anomalies TC</x:v>
      </x:c>
      <x:c r="B52" s="9" t="str">
        <x:v>ANO-03</x:v>
      </x:c>
      <x:c r="C52" s="8" t="str">
        <x:v>Saisie multiple</x:v>
      </x:c>
      <x:c r="D52" s="8" t="str">
        <x:v>Vessel Planner</x:v>
      </x:c>
      <x:c r="E52" s="10" t="str">
        <x:v>Collage de plusieurs numéros</x:v>
      </x:c>
      <x:c r="F52" s="10" t="str">
        <x:v>1. Coller trois numéros de conteneurs, un par ligne, dans le champ numéro. 2. Renseigner les autres champs. 3. Ajouter.</x:v>
      </x:c>
      <x:c r="G52" s="10" t="str">
        <x:v>Trois lignes distinctes sont créées, avec les mêmes attributs.</x:v>
      </x:c>
      <x:c r="H52" s="10" t="str">
        <x:v>Un collage de trois numéros crée trois anomalies distinctes avec les mêmes attributs.</x:v>
      </x:c>
      <x:c r="I52" s="11" t="str">
        <x:v>OK</x:v>
      </x:c>
      <x:c r="J52" s="19" t="str">
        <x:v>Majeure</x:v>
      </x:c>
      <x:c r="K52" s="13" t="str">
        <x:v>Corrigé et rejoué — découpage CR/LF, validation et trois lignes persistées.</x:v>
      </x:c>
    </x:row>
    <x:row r="53" ht="42" customHeight="1">
      <x:c r="A53" s="14" t="str">
        <x:v>Anomalies TC</x:v>
      </x:c>
      <x:c r="B53" s="15" t="str">
        <x:v>ANO-04</x:v>
      </x:c>
      <x:c r="C53" s="14" t="str">
        <x:v>Saisie multiple</x:v>
      </x:c>
      <x:c r="D53" s="14" t="str">
        <x:v>Vessel Planner</x:v>
      </x:c>
      <x:c r="E53" s="16" t="str">
        <x:v>Collage avec lignes vides</x:v>
      </x:c>
      <x:c r="F53" s="16" t="str">
        <x:v>1. Coller une liste comportant des lignes vides. 2. Ajouter.</x:v>
      </x:c>
      <x:c r="G53" s="16" t="str">
        <x:v>Seuls les numéros réels génèrent une ligne ; les lignes vides sont ignorées.</x:v>
      </x:c>
      <x:c r="H53" s="16" t="str">
        <x:v>Le collage comportant une ligne vide crée uniquement les trois conteneurs réels ; compteur = 3.</x:v>
      </x:c>
      <x:c r="I53" s="11" t="str">
        <x:v>OK</x:v>
      </x:c>
      <x:c r="J53" s="18" t="str">
        <x:v>Moyenne</x:v>
      </x:c>
      <x:c r="K53" s="17" t="str">
        <x:v>Corrigé et rejoué — lignes vides ignorées et doublons normalisés.</x:v>
      </x:c>
    </x:row>
    <x:row r="54" ht="42" customHeight="1">
      <x:c r="A54" s="8" t="str">
        <x:v>Anomalies TC</x:v>
      </x:c>
      <x:c r="B54" s="9" t="str">
        <x:v>ANO-05</x:v>
      </x:c>
      <x:c r="C54" s="8" t="str">
        <x:v>Modification</x:v>
      </x:c>
      <x:c r="D54" s="8" t="str">
        <x:v>Vessel Planner</x:v>
      </x:c>
      <x:c r="E54" s="10" t="str">
        <x:v>Correction d'une ligne existante</x:v>
      </x:c>
      <x:c r="F54" s="10" t="str">
        <x:v>1. Modifier la position d'une anomalie. 2. Quitter le champ. 3. Recharger l'écran.</x:v>
      </x:c>
      <x:c r="G54" s="10" t="str">
        <x:v>La correction est conservée.</x:v>
      </x:c>
      <x:c r="H54" s="10" t="str">
        <x:v>La position BAY-CORRIGEE est conservée après modification et rechargement.</x:v>
      </x:c>
      <x:c r="I54" s="11" t="str">
        <x:v>OK</x:v>
      </x:c>
      <x:c r="J54" s="19" t="str">
        <x:v>Majeure</x:v>
      </x:c>
      <x:c r="K54" s="13" t="str">
        <x:v>Corrigé et rejoué — commande UpdateContainerAnomalyPosition.</x:v>
      </x:c>
    </x:row>
    <x:row r="55" ht="42" customHeight="1">
      <x:c r="A55" s="14" t="str">
        <x:v>Anomalies TC</x:v>
      </x:c>
      <x:c r="B55" s="15" t="str">
        <x:v>ANO-06</x:v>
      </x:c>
      <x:c r="C55" s="14" t="str">
        <x:v>Résolution</x:v>
      </x:c>
      <x:c r="D55" s="14" t="str">
        <x:v>Vessel Planner</x:v>
      </x:c>
      <x:c r="E55" s="16" t="str">
        <x:v>Marquage d'une anomalie résolue</x:v>
      </x:c>
      <x:c r="F55" s="16" t="str">
        <x:v>1. Marquer une anomalie comme résolue. 2. Observer la ligne.</x:v>
      </x:c>
      <x:c r="G55" s="16" t="str">
        <x:v>La ligne est conservée avec sa date de résolution et un repérage distinct.</x:v>
      </x:c>
      <x:c r="H55" s="16" t="str">
        <x:v>L'anomalie reste visible avec le statut Résolu, la date et l'utilisateur de résolution.</x:v>
      </x:c>
      <x:c r="I55" s="11" t="str">
        <x:v>OK</x:v>
      </x:c>
      <x:c r="J55" s="12" t="str">
        <x:v>Bloquante</x:v>
      </x:c>
      <x:c r="K55" s="17" t="str">
        <x:v>Corrigé et rejoué — date de résolution rendue dans la ligne.</x:v>
      </x:c>
    </x:row>
    <x:row r="56" ht="42" customHeight="1">
      <x:c r="A56" s="8" t="str">
        <x:v>Anomalies TC</x:v>
      </x:c>
      <x:c r="B56" s="9" t="str">
        <x:v>ANO-07</x:v>
      </x:c>
      <x:c r="C56" s="8" t="str">
        <x:v>Compteur</x:v>
      </x:c>
      <x:c r="D56" s="8" t="str">
        <x:v>Vessel Planner</x:v>
      </x:c>
      <x:c r="E56" s="10" t="str">
        <x:v>Compteur de la carte</x:v>
      </x:c>
      <x:c r="F56" s="10" t="str">
        <x:v>1. Noter le compteur d'anomalies de la carte. 2. Ajouter une anomalie. 3. Revenir au tableau de bord.</x:v>
      </x:c>
      <x:c r="G56" s="10" t="str">
        <x:v>Le compteur est incrémenté.</x:v>
      </x:c>
      <x:c r="H56" s="10" t="str">
        <x:v>Le compteur de la carte passe de 3 à 4 après l'ajout.</x:v>
      </x:c>
      <x:c r="I56" s="11" t="str">
        <x:v>OK</x:v>
      </x:c>
      <x:c r="J56" s="19" t="str">
        <x:v>Majeure</x:v>
      </x:c>
      <x:c r="K56" s="13" t="str">
        <x:v>Corrigé et rejoué — agrégation des anomalies non résolues sur le tableau de bord.</x:v>
      </x:c>
    </x:row>
    <x:row r="57" ht="42" customHeight="1">
      <x:c r="A57" s="14" t="str">
        <x:v>Anomalies TC</x:v>
      </x:c>
      <x:c r="B57" s="15" t="str">
        <x:v>ANO-08</x:v>
      </x:c>
      <x:c r="C57" s="14" t="str">
        <x:v>Compteur</x:v>
      </x:c>
      <x:c r="D57" s="14" t="str">
        <x:v>Vessel Planner</x:v>
      </x:c>
      <x:c r="E57" s="16" t="str">
        <x:v>Effet de la résolution sur le compteur</x:v>
      </x:c>
      <x:c r="F57" s="16" t="str">
        <x:v>1. Marquer une anomalie résolue. 2. Revenir au tableau de bord.</x:v>
      </x:c>
      <x:c r="G57" s="16" t="str">
        <x:v>Le compteur reflète le nombre de lignes non résolues.</x:v>
      </x:c>
      <x:c r="H57" s="16" t="str">
        <x:v>Après résolution, le compteur des anomalies non résolues revient de 4 à 3.</x:v>
      </x:c>
      <x:c r="I57" s="11" t="str">
        <x:v>OK</x:v>
      </x:c>
      <x:c r="J57" s="18" t="str">
        <x:v>Moyenne</x:v>
      </x:c>
      <x:c r="K57" s="17" t="str">
        <x:v>Corrigé et rejoué — compteur limité aux statuts Non résolu.</x:v>
      </x:c>
    </x:row>
    <x:row r="58" ht="42" customHeight="1">
      <x:c r="A58" s="8" t="str">
        <x:v>Anomalies TC</x:v>
      </x:c>
      <x:c r="B58" s="9" t="str">
        <x:v>ANO-09</x:v>
      </x:c>
      <x:c r="C58" s="8" t="str">
        <x:v>Suppression</x:v>
      </x:c>
      <x:c r="D58" s="8" t="str">
        <x:v>Vessel Planner</x:v>
      </x:c>
      <x:c r="E58" s="10" t="str">
        <x:v>Suppression d'une ligne</x:v>
      </x:c>
      <x:c r="F58" s="10" t="str">
        <x:v>1. Supprimer une anomalie. 2. Recharger l'écran.</x:v>
      </x:c>
      <x:c r="G58" s="10" t="str">
        <x:v>La ligne a disparu et ne réapparaît pas.</x:v>
      </x:c>
      <x:c r="H58" s="10" t="str">
        <x:v>La ligne supprimée ne réapparaît pas après rechargement.</x:v>
      </x:c>
      <x:c r="I58" s="11" t="str">
        <x:v>OK</x:v>
      </x:c>
      <x:c r="J58" s="19" t="str">
        <x:v>Majeure</x:v>
      </x:c>
      <x:c r="K58" s="13" t="str">
        <x:v>Corrigé et rejoué — commande DeleteContainerAnomaly et suppression persistante.</x:v>
      </x:c>
    </x:row>
    <x:row r="59" ht="42" customHeight="1">
      <x:c r="A59" s="14" t="str">
        <x:v>Anomalies TC</x:v>
      </x:c>
      <x:c r="B59" s="15" t="str">
        <x:v>ANO-10</x:v>
      </x:c>
      <x:c r="C59" s="14" t="str">
        <x:v>Rapport</x:v>
      </x:c>
      <x:c r="D59" s="14" t="str">
        <x:v>Vessel Planner</x:v>
      </x:c>
      <x:c r="E59" s="16" t="str">
        <x:v>Reprise dans le rapport</x:v>
      </x:c>
      <x:c r="F59" s="16" t="str">
        <x:v>1. Ouvrir l'aperçu du rapport. 2. Consulter la section des anomalies.</x:v>
      </x:c>
      <x:c r="G59" s="16" t="str">
        <x:v>Les anomalies, résolues et non résolues, figurent dans la section 1.</x:v>
      </x:c>
      <x:c r="H59" s="16" t="str">
        <x:v>La section 1 du PDF contient les anomalies résolues et non résolues.</x:v>
      </x:c>
      <x:c r="I59" s="11" t="str">
        <x:v>OK</x:v>
      </x:c>
      <x:c r="J59" s="19" t="str">
        <x:v>Majeure</x:v>
      </x:c>
      <x:c r="K59" s="17" t="str">
        <x:v>Rejoué — PDF HTTP 200, extraction texte et rendu visuel Poppler (2 pages).</x:v>
      </x:c>
    </x:row>
    <x:row r="60" ht="42" customHeight="1">
      <x:c r="A60" s="8" t="str">
        <x:v>Vides</x:v>
      </x:c>
      <x:c r="B60" s="9" t="str">
        <x:v>VID-01</x:v>
      </x:c>
      <x:c r="C60" s="8" t="str">
        <x:v>Vides</x:v>
      </x:c>
      <x:c r="D60" s="8" t="str">
        <x:v>Vessel Planner</x:v>
      </x:c>
      <x:c r="E60" s="10" t="str">
        <x:v>Ajout d'une ligne de vides</x:v>
      </x:c>
      <x:c r="F60" s="10" t="str">
        <x:v>1. Ouvrir l'onglet des vides. 2. Saisir ligne, type et quantité souhaitée. 3. Ajouter.</x:v>
      </x:c>
      <x:c r="G60" s="10" t="str">
        <x:v>La ligne apparaît dans le tableau.</x:v>
      </x:c>
      <x:c r="H60" s="10" t="str">
        <x:v>La cible REC-VID-50 est ajoutée et restituée dans l'onglet des vides.</x:v>
      </x:c>
      <x:c r="I60" s="11" t="str">
        <x:v>OK</x:v>
      </x:c>
      <x:c r="J60" s="12" t="str">
        <x:v>Bloquante</x:v>
      </x:c>
      <x:c r="K60" s="13" t="str">
        <x:v>Rejoué — POST AddEmptyTarget et lecture de la fiche.</x:v>
      </x:c>
    </x:row>
    <x:row r="61" ht="42" customHeight="1">
      <x:c r="A61" s="14" t="str">
        <x:v>Vides</x:v>
      </x:c>
      <x:c r="B61" s="15" t="str">
        <x:v>VID-02</x:v>
      </x:c>
      <x:c r="C61" s="14" t="str">
        <x:v>Calcul</x:v>
      </x:c>
      <x:c r="D61" s="14" t="str">
        <x:v>Vessel Planner</x:v>
      </x:c>
      <x:c r="E61" s="16" t="str">
        <x:v>Calcul du reste à charger</x:v>
      </x:c>
      <x:c r="F61" s="16" t="str">
        <x:v>1. Saisir souhaité 50, ajout 10, embarqué 30, coupé 5. 2. Observer la colonne Reste.</x:v>
      </x:c>
      <x:c r="G61" s="16" t="str">
        <x:v>Le reste affiche 25, conformément à la formule souhaité + ajout − embarqué − coupé.</x:v>
      </x:c>
      <x:c r="H61" s="16" t="str">
        <x:v>Avec 50 souhaités, 10 ajoutés, 30 embarqués et 5 coupés, le reste affiché est 25.</x:v>
      </x:c>
      <x:c r="I61" s="11" t="str">
        <x:v>OK</x:v>
      </x:c>
      <x:c r="J61" s="12" t="str">
        <x:v>Bloquante</x:v>
      </x:c>
      <x:c r="K61" s="17" t="str">
        <x:v>Rejoué — formule métier 50 + 10 - 30 - 5 = 25.</x:v>
      </x:c>
    </x:row>
    <x:row r="62" ht="42" customHeight="1">
      <x:c r="A62" s="8" t="str">
        <x:v>Vides</x:v>
      </x:c>
      <x:c r="B62" s="9" t="str">
        <x:v>VID-03</x:v>
      </x:c>
      <x:c r="C62" s="8" t="str">
        <x:v>Calcul</x:v>
      </x:c>
      <x:c r="D62" s="8" t="str">
        <x:v>Vessel Planner</x:v>
      </x:c>
      <x:c r="E62" s="10" t="str">
        <x:v>Recalcul immédiat</x:v>
      </x:c>
      <x:c r="F62" s="10" t="str">
        <x:v>1. Modifier la quantité embarquée. 2. Quitter le champ.</x:v>
      </x:c>
      <x:c r="G62" s="10" t="str">
        <x:v>Le reste est recalculé sans action supplémentaire.</x:v>
      </x:c>
      <x:c r="H62" s="10" t="str">
        <x:v>Après passage de l'embarqué à 31, le reste est recalculé à 24 au changement du champ.</x:v>
      </x:c>
      <x:c r="I62" s="11" t="str">
        <x:v>OK</x:v>
      </x:c>
      <x:c r="J62" s="12" t="str">
        <x:v>Bloquante</x:v>
      </x:c>
      <x:c r="K62" s="13" t="str">
        <x:v>Corrigé et rejoué — soumission automatique du champ Embarqué et recalcul serveur.</x:v>
      </x:c>
    </x:row>
    <x:row r="63" ht="42" customHeight="1">
      <x:c r="A63" s="14" t="str">
        <x:v>Vides</x:v>
      </x:c>
      <x:c r="B63" s="15" t="str">
        <x:v>VID-04</x:v>
      </x:c>
      <x:c r="C63" s="14" t="str">
        <x:v>Calcul</x:v>
      </x:c>
      <x:c r="D63" s="14" t="str">
        <x:v>Vessel Planner</x:v>
      </x:c>
      <x:c r="E63" s="16" t="str">
        <x:v>Reste non saisissable</x:v>
      </x:c>
      <x:c r="F63" s="16" t="str">
        <x:v>1. Tenter de modifier directement la valeur du reste.</x:v>
      </x:c>
      <x:c r="G63" s="16" t="str">
        <x:v>Le champ n'est pas saisissable.</x:v>
      </x:c>
      <x:c r="H63" s="16" t="str">
        <x:v>Le reste est une valeur calculée rendue en lecture seule ; aucun champ QuantiteRestante n'existe.</x:v>
      </x:c>
      <x:c r="I63" s="11" t="str">
        <x:v>OK</x:v>
      </x:c>
      <x:c r="J63" s="19" t="str">
        <x:v>Majeure</x:v>
      </x:c>
      <x:c r="K63" s="17" t="str">
        <x:v>Rejoué — contrôle du HTML rendu.</x:v>
      </x:c>
    </x:row>
    <x:row r="64" ht="42" customHeight="1">
      <x:c r="A64" s="8" t="str">
        <x:v>Vides</x:v>
      </x:c>
      <x:c r="B64" s="9" t="str">
        <x:v>VID-05</x:v>
      </x:c>
      <x:c r="C64" s="8" t="str">
        <x:v>Motif</x:v>
      </x:c>
      <x:c r="D64" s="8" t="str">
        <x:v>Vessel Planner</x:v>
      </x:c>
      <x:c r="E64" s="10" t="str">
        <x:v>Motif obligatoire en cas de coupure</x:v>
      </x:c>
      <x:c r="F64" s="10" t="str">
        <x:v>1. Saisir une quantité coupée. 2. Laisser le motif vide. 3. Valider.</x:v>
      </x:c>
      <x:c r="G64" s="10" t="str">
        <x:v>Le motif est réclamé ou l'absence est signalée.</x:v>
      </x:c>
      <x:c r="H64" s="10" t="str">
        <x:v>Une coupure sans motif est refusée avec un message explicite et les anciennes valeurs sont conservées.</x:v>
      </x:c>
      <x:c r="I64" s="11" t="str">
        <x:v>OK</x:v>
      </x:c>
      <x:c r="J64" s="19" t="str">
        <x:v>Majeure</x:v>
      </x:c>
      <x:c r="K64" s="13" t="str">
        <x:v>Corrigé et rejoué — validation contrôleur et handler.</x:v>
      </x:c>
    </x:row>
    <x:row r="65" ht="42" customHeight="1">
      <x:c r="A65" s="14" t="str">
        <x:v>Vides</x:v>
      </x:c>
      <x:c r="B65" s="15" t="str">
        <x:v>VID-06</x:v>
      </x:c>
      <x:c r="C65" s="14" t="str">
        <x:v>Totaux</x:v>
      </x:c>
      <x:c r="D65" s="14" t="str">
        <x:v>Vessel Planner</x:v>
      </x:c>
      <x:c r="E65" s="16" t="str">
        <x:v>Totaux de colonnes</x:v>
      </x:c>
      <x:c r="F65" s="16" t="str">
        <x:v>1. Saisir trois lignes de vides. 2. Observer le pied de tableau.</x:v>
      </x:c>
      <x:c r="G65" s="16" t="str">
        <x:v>Les totaux correspondent à la somme des lignes.</x:v>
      </x:c>
      <x:c r="H65" s="16" t="str">
        <x:v>Pour trois lignes, les totaux sont 100 souhaités, 10 ajoutés, 40 planifiés, 31 embarqués, 5 coupés et 74 restants.</x:v>
      </x:c>
      <x:c r="I65" s="11" t="str">
        <x:v>OK</x:v>
      </x:c>
      <x:c r="J65" s="19" t="str">
        <x:v>Majeure</x:v>
      </x:c>
      <x:c r="K65" s="17" t="str">
        <x:v>Rejoué — agrégats calculés sur toutes les lignes de l'escale.</x:v>
      </x:c>
    </x:row>
    <x:row r="66" ht="42" customHeight="1">
      <x:c r="A66" s="8" t="str">
        <x:v>Vides</x:v>
      </x:c>
      <x:c r="B66" s="9" t="str">
        <x:v>VID-07</x:v>
      </x:c>
      <x:c r="C66" s="8" t="str">
        <x:v>Valeurs</x:v>
      </x:c>
      <x:c r="D66" s="8" t="str">
        <x:v>Vessel Planner</x:v>
      </x:c>
      <x:c r="E66" s="10" t="str">
        <x:v>Refus des valeurs négatives</x:v>
      </x:c>
      <x:c r="F66" s="10" t="str">
        <x:v>1. Saisir une quantité négative.</x:v>
      </x:c>
      <x:c r="G66" s="10" t="str">
        <x:v>La valeur est refusée ou ramenée à zéro.</x:v>
      </x:c>
      <x:c r="H66" s="10" t="str">
        <x:v>Une quantité négative est signalée et aucune ligne négative n'est créée.</x:v>
      </x:c>
      <x:c r="I66" s="11" t="str">
        <x:v>OK</x:v>
      </x:c>
      <x:c r="J66" s="18" t="str">
        <x:v>Moyenne</x:v>
      </x:c>
      <x:c r="K66" s="13" t="str">
        <x:v>Corrigé et rejoué — validation des ajouts et mises à jour.</x:v>
      </x:c>
    </x:row>
    <x:row r="67" ht="42" customHeight="1">
      <x:c r="A67" s="14" t="str">
        <x:v>Vides</x:v>
      </x:c>
      <x:c r="B67" s="15" t="str">
        <x:v>VID-08</x:v>
      </x:c>
      <x:c r="C67" s="14" t="str">
        <x:v>Rapport</x:v>
      </x:c>
      <x:c r="D67" s="14" t="str">
        <x:v>Vessel Planner</x:v>
      </x:c>
      <x:c r="E67" s="16" t="str">
        <x:v>Reprise dans le rapport</x:v>
      </x:c>
      <x:c r="F67" s="16" t="str">
        <x:v>1. Ouvrir l'aperçu du rapport. 2. Consulter la section des vides.</x:v>
      </x:c>
      <x:c r="G67" s="16" t="str">
        <x:v>Les lignes et les totaux figurent dans la section 2.</x:v>
      </x:c>
      <x:c r="H67" s="16" t="str">
        <x:v>La section 2 du PDF contient les trois lignes et les totaux 100/10/40/31/5/74.</x:v>
      </x:c>
      <x:c r="I67" s="11" t="str">
        <x:v>OK</x:v>
      </x:c>
      <x:c r="J67" s="19" t="str">
        <x:v>Majeure</x:v>
      </x:c>
      <x:c r="K67" s="17" t="str">
        <x:v>Corrigé et rejoué — colonne Ajoutée et ligne de totaux ajoutées au PDF.</x:v>
      </x:c>
    </x:row>
    <x:row r="68" ht="42" customHeight="1">
      <x:c r="A68" s="8" t="str">
        <x:v>Incidents</x:v>
      </x:c>
      <x:c r="B68" s="9" t="str">
        <x:v>INC-01</x:v>
      </x:c>
      <x:c r="C68" s="8" t="str">
        <x:v>Incidents</x:v>
      </x:c>
      <x:c r="D68" s="8" t="str">
        <x:v>Vessel Planner</x:v>
      </x:c>
      <x:c r="E68" s="10" t="str">
        <x:v>Ajout d'un incident</x:v>
      </x:c>
      <x:c r="F68" s="10" t="str">
        <x:v>1. Ouvrir l'onglet des incidents. 2. Saisir catégorie, localisation, début, gravité et description. 3. Ajouter.</x:v>
      </x:c>
      <x:c r="G68" s="10" t="str">
        <x:v>La ligne apparaît dans le tableau.</x:v>
      </x:c>
      <x:c r="H68" s="10" t="str">
        <x:v>L'incident REC-INC-DUREE est ajouté et restitué avec toutes ses valeurs.</x:v>
      </x:c>
      <x:c r="I68" s="11" t="str">
        <x:v>OK</x:v>
      </x:c>
      <x:c r="J68" s="12" t="str">
        <x:v>Bloquante</x:v>
      </x:c>
      <x:c r="K68" s="13" t="str">
        <x:v>Rejoué — POST AddIncident puis rechargement.</x:v>
      </x:c>
    </x:row>
    <x:row r="69" ht="42" customHeight="1">
      <x:c r="A69" s="14" t="str">
        <x:v>Incidents</x:v>
      </x:c>
      <x:c r="B69" s="15" t="str">
        <x:v>INC-02</x:v>
      </x:c>
      <x:c r="C69" s="14" t="str">
        <x:v>Calcul</x:v>
      </x:c>
      <x:c r="D69" s="14" t="str">
        <x:v>Vessel Planner</x:v>
      </x:c>
      <x:c r="E69" s="16" t="str">
        <x:v>Calcul de la durée</x:v>
      </x:c>
      <x:c r="F69" s="16" t="str">
        <x:v>1. Saisir un début à 08h00 et une fin à 09h30. 2. Observer la durée.</x:v>
      </x:c>
      <x:c r="G69" s="16" t="str">
        <x:v>La durée affiche 1 h 30, sans saisie manuelle.</x:v>
      </x:c>
      <x:c r="H69" s="16" t="str">
        <x:v>Un début à 08:00 et une fin à 09:30 donnent automatiquement une durée de 1h30.</x:v>
      </x:c>
      <x:c r="I69" s="11" t="str">
        <x:v>OK</x:v>
      </x:c>
      <x:c r="J69" s="12" t="str">
        <x:v>Bloquante</x:v>
      </x:c>
      <x:c r="K69" s="17" t="str">
        <x:v>Corrigé et rejoué — DateFinUtc saisissable et durée calculée.</x:v>
      </x:c>
    </x:row>
    <x:row r="70" ht="42" customHeight="1">
      <x:c r="A70" s="8" t="str">
        <x:v>Incidents</x:v>
      </x:c>
      <x:c r="B70" s="9" t="str">
        <x:v>INC-03</x:v>
      </x:c>
      <x:c r="C70" s="8" t="str">
        <x:v>Statut</x:v>
      </x:c>
      <x:c r="D70" s="8" t="str">
        <x:v>Vessel Planner</x:v>
      </x:c>
      <x:c r="E70" s="10" t="str">
        <x:v>Incident sans heure de fin</x:v>
      </x:c>
      <x:c r="F70" s="10" t="str">
        <x:v>1. Saisir un incident sans renseigner l'heure de fin. 2. Observer la ligne.</x:v>
      </x:c>
      <x:c r="G70" s="10" t="str">
        <x:v>L'incident est signalé comme en cours.</x:v>
      </x:c>
      <x:c r="H70" s="10" t="str">
        <x:v>Sans heure de fin, l'incident affiche En cours et aucune durée.</x:v>
      </x:c>
      <x:c r="I70" s="11" t="str">
        <x:v>OK</x:v>
      </x:c>
      <x:c r="J70" s="19" t="str">
        <x:v>Majeure</x:v>
      </x:c>
      <x:c r="K70" s="13" t="str">
        <x:v>Rejoué — statut EnCours et durée absente.</x:v>
      </x:c>
    </x:row>
    <x:row r="71" ht="42" customHeight="1">
      <x:c r="A71" s="14" t="str">
        <x:v>Incidents</x:v>
      </x:c>
      <x:c r="B71" s="15" t="str">
        <x:v>INC-04</x:v>
      </x:c>
      <x:c r="C71" s="14" t="str">
        <x:v>Saisie</x:v>
      </x:c>
      <x:c r="D71" s="14" t="str">
        <x:v>Vessel Planner</x:v>
      </x:c>
      <x:c r="E71" s="16" t="str">
        <x:v>Saisie du début avant la cause</x:v>
      </x:c>
      <x:c r="F71" s="16" t="str">
        <x:v>1. Saisir uniquement l'heure de début. 2. Enregistrer. 3. Compléter la description plus tard.</x:v>
      </x:c>
      <x:c r="G71" s="16" t="str">
        <x:v>La saisie partielle est acceptée puis complétée sans perte.</x:v>
      </x:c>
      <x:c r="H71" s="16" t="str">
        <x:v>La description vide à la création est complétée ultérieurement puis restituée sans perte.</x:v>
      </x:c>
      <x:c r="I71" s="11" t="str">
        <x:v>OK</x:v>
      </x:c>
      <x:c r="J71" s="19" t="str">
        <x:v>Majeure</x:v>
      </x:c>
      <x:c r="K71" s="17" t="str">
        <x:v>Corrigé et rejoué — commande UpdateOperationalIncident.</x:v>
      </x:c>
    </x:row>
    <x:row r="72" ht="42" customHeight="1">
      <x:c r="A72" s="8" t="str">
        <x:v>Incidents</x:v>
      </x:c>
      <x:c r="B72" s="9" t="str">
        <x:v>INC-05</x:v>
      </x:c>
      <x:c r="C72" s="8" t="str">
        <x:v>Cohérence</x:v>
      </x:c>
      <x:c r="D72" s="8" t="str">
        <x:v>Vessel Planner</x:v>
      </x:c>
      <x:c r="E72" s="10" t="str">
        <x:v>Fin antérieure au début</x:v>
      </x:c>
      <x:c r="F72" s="10" t="str">
        <x:v>1. Saisir une heure de fin antérieure à l'heure de début.</x:v>
      </x:c>
      <x:c r="G72" s="10" t="str">
        <x:v>L'incohérence est signalée ou la durée n'affiche pas de valeur négative.</x:v>
      </x:c>
      <x:c r="H72" s="10" t="str">
        <x:v>Une fin à 09:00 pour un début à 10:00 est refusée ; aucune durée négative n'est affichée.</x:v>
      </x:c>
      <x:c r="I72" s="11" t="str">
        <x:v>OK</x:v>
      </x:c>
      <x:c r="J72" s="19" t="str">
        <x:v>Majeure</x:v>
      </x:c>
      <x:c r="K72" s="13" t="str">
        <x:v>Corrigé et rejoué — validation chronologique et garde domaine.</x:v>
      </x:c>
    </x:row>
    <x:row r="73" ht="42" customHeight="1">
      <x:c r="A73" s="14" t="str">
        <x:v>Incidents</x:v>
      </x:c>
      <x:c r="B73" s="15" t="str">
        <x:v>INC-06</x:v>
      </x:c>
      <x:c r="C73" s="14" t="str">
        <x:v>Listes</x:v>
      </x:c>
      <x:c r="D73" s="14" t="str">
        <x:v>Vessel Planner</x:v>
      </x:c>
      <x:c r="E73" s="16" t="str">
        <x:v>Catégories et gravités paramétrables</x:v>
      </x:c>
      <x:c r="F73" s="16" t="str">
        <x:v>1. Ouvrir les listes de catégorie et de gravité.</x:v>
      </x:c>
      <x:c r="G73" s="16" t="str">
        <x:v>Les valeurs correspondent au paramétrage.</x:v>
      </x:c>
      <x:c r="H73" s="16" t="str">
        <x:v>Les sept catégories et les trois gravités actives proviennent des listes du paramétrage.</x:v>
      </x:c>
      <x:c r="I73" s="11" t="str">
        <x:v>OK</x:v>
      </x:c>
      <x:c r="J73" s="18" t="str">
        <x:v>Moyenne</x:v>
      </x:c>
      <x:c r="K73" s="17" t="str">
        <x:v>Corrigé et rejoué — nouvelle liste Gravités d'incident, seed et validation active.</x:v>
      </x:c>
    </x:row>
    <x:row r="74" ht="42" customHeight="1">
      <x:c r="A74" s="8" t="str">
        <x:v>Incidents</x:v>
      </x:c>
      <x:c r="B74" s="9" t="str">
        <x:v>INC-07</x:v>
      </x:c>
      <x:c r="C74" s="8" t="str">
        <x:v>Rapport</x:v>
      </x:c>
      <x:c r="D74" s="8" t="str">
        <x:v>Vessel Planner</x:v>
      </x:c>
      <x:c r="E74" s="10" t="str">
        <x:v>Reprise dans le rapport</x:v>
      </x:c>
      <x:c r="F74" s="10" t="str">
        <x:v>1. Ouvrir l'aperçu du rapport. 2. Consulter la section des incidents.</x:v>
      </x:c>
      <x:c r="G74" s="10" t="str">
        <x:v>Les incidents et leurs durées figurent dans la section 3.</x:v>
      </x:c>
      <x:c r="H74" s="10" t="str">
        <x:v>La section 3 du PDF contient début, fin, durée 1h30, gravité, statut et description.</x:v>
      </x:c>
      <x:c r="I74" s="11" t="str">
        <x:v>OK</x:v>
      </x:c>
      <x:c r="J74" s="19" t="str">
        <x:v>Majeure</x:v>
      </x:c>
      <x:c r="K74" s="13" t="str">
        <x:v>Corrigé et rejoué — PDF accessible au Vessel Planner et colonnes complètes.</x:v>
      </x:c>
    </x:row>
    <x:row r="75" ht="42" customHeight="1">
      <x:c r="A75" s="14" t="str">
        <x:v>Additionnels</x:v>
      </x:c>
      <x:c r="B75" s="15" t="str">
        <x:v>ADD-01</x:v>
      </x:c>
      <x:c r="C75" s="14" t="str">
        <x:v>Additionnels</x:v>
      </x:c>
      <x:c r="D75" s="14" t="str">
        <x:v>Vessel Planner</x:v>
      </x:c>
      <x:c r="E75" s="16" t="str">
        <x:v>Ajout d'un conteneur additionnel</x:v>
      </x:c>
      <x:c r="F75" s="16" t="str">
        <x:v>1. Saisir numéro, ligne, position et sens. 2. Ajouter.</x:v>
      </x:c>
      <x:c r="G75" s="16" t="str">
        <x:v>La ligne apparaît dans le tableau.</x:v>
      </x:c>
      <x:c r="H75" s="16" t="str">
        <x:v>Le conteneur MSCU8000001 est ajouté et restitué dans le tableau.</x:v>
      </x:c>
      <x:c r="I75" s="11" t="str">
        <x:v>OK</x:v>
      </x:c>
      <x:c r="J75" s="19" t="str">
        <x:v>Majeure</x:v>
      </x:c>
      <x:c r="K75" s="17" t="str">
        <x:v>Rejoué — POST AddAdditional puis lecture.</x:v>
      </x:c>
    </x:row>
    <x:row r="76" ht="42" customHeight="1">
      <x:c r="A76" s="8" t="str">
        <x:v>Additionnels</x:v>
      </x:c>
      <x:c r="B76" s="9" t="str">
        <x:v>ADD-02</x:v>
      </x:c>
      <x:c r="C76" s="8" t="str">
        <x:v>Décision</x:v>
      </x:c>
      <x:c r="D76" s="8" t="str">
        <x:v>Vessel Planner</x:v>
      </x:c>
      <x:c r="E76" s="10" t="str">
        <x:v>Saisie de la décision finale</x:v>
      </x:c>
      <x:c r="F76" s="10" t="str">
        <x:v>1. Renseigner la décision débarqué ou embarqué. 2. Recharger l'écran.</x:v>
      </x:c>
      <x:c r="G76" s="10" t="str">
        <x:v>La décision est conservée.</x:v>
      </x:c>
      <x:c r="H76" s="10" t="str">
        <x:v>La décision Embarqué est conservée et reste sélectionnée après rechargement.</x:v>
      </x:c>
      <x:c r="I76" s="11" t="str">
        <x:v>OK</x:v>
      </x:c>
      <x:c r="J76" s="19" t="str">
        <x:v>Majeure</x:v>
      </x:c>
      <x:c r="K76" s="13" t="str">
        <x:v>Rejoué — SetAdditionalDecision, valeur 2 persistée.</x:v>
      </x:c>
    </x:row>
    <x:row r="77" ht="42" customHeight="1">
      <x:c r="A77" s="14" t="str">
        <x:v>Additionnels</x:v>
      </x:c>
      <x:c r="B77" s="15" t="str">
        <x:v>ADD-03</x:v>
      </x:c>
      <x:c r="C77" s="14" t="str">
        <x:v>Saisie multiple</x:v>
      </x:c>
      <x:c r="D77" s="14" t="str">
        <x:v>Vessel Planner</x:v>
      </x:c>
      <x:c r="E77" s="16" t="str">
        <x:v>Collage de plusieurs numéros</x:v>
      </x:c>
      <x:c r="F77" s="16" t="str">
        <x:v>1. Coller trois numéros. 2. Ajouter.</x:v>
      </x:c>
      <x:c r="G77" s="16" t="str">
        <x:v>Trois lignes sont créées.</x:v>
      </x:c>
      <x:c r="H77" s="16" t="str">
        <x:v>Un collage de trois numéros crée trois lignes additionnelles distinctes.</x:v>
      </x:c>
      <x:c r="I77" s="11" t="str">
        <x:v>OK</x:v>
      </x:c>
      <x:c r="J77" s="18" t="str">
        <x:v>Moyenne</x:v>
      </x:c>
      <x:c r="K77" s="17" t="str">
        <x:v>Corrigé et rejoué — saisie multiligne normalisée.</x:v>
      </x:c>
    </x:row>
    <x:row r="78" ht="42" customHeight="1">
      <x:c r="A78" s="8" t="str">
        <x:v>Additionnels</x:v>
      </x:c>
      <x:c r="B78" s="9" t="str">
        <x:v>ADD-04</x:v>
      </x:c>
      <x:c r="C78" s="8" t="str">
        <x:v>Rapport</x:v>
      </x:c>
      <x:c r="D78" s="8" t="str">
        <x:v>Vessel Planner</x:v>
      </x:c>
      <x:c r="E78" s="10" t="str">
        <x:v>Reprise dans le rapport</x:v>
      </x:c>
      <x:c r="F78" s="10" t="str">
        <x:v>1. Ouvrir l'aperçu du rapport. 2. Consulter la section 4.</x:v>
      </x:c>
      <x:c r="G78" s="10" t="str">
        <x:v>Les additionnels y figurent avec leur décision.</x:v>
      </x:c>
      <x:c r="H78" s="10" t="str">
        <x:v>La section 4 du PDF contient les quatre additionnels et leurs décisions.</x:v>
      </x:c>
      <x:c r="I78" s="11" t="str">
        <x:v>OK</x:v>
      </x:c>
      <x:c r="J78" s="19" t="str">
        <x:v>Majeure</x:v>
      </x:c>
      <x:c r="K78" s="13" t="str">
        <x:v>Rejoué — extraction et contrôle visuel du PDF.</x:v>
      </x:c>
    </x:row>
    <x:row r="79" ht="42" customHeight="1">
      <x:c r="A79" s="14" t="str">
        <x:v>Additionnels</x:v>
      </x:c>
      <x:c r="B79" s="15" t="str">
        <x:v>ADD-05</x:v>
      </x:c>
      <x:c r="C79" s="14" t="str">
        <x:v>Compteur</x:v>
      </x:c>
      <x:c r="D79" s="14" t="str">
        <x:v>Vessel Planner</x:v>
      </x:c>
      <x:c r="E79" s="16" t="str">
        <x:v>Compteur de la carte</x:v>
      </x:c>
      <x:c r="F79" s="16" t="str">
        <x:v>1. Ajouter un additionnel. 2. Revenir au tableau de bord.</x:v>
      </x:c>
      <x:c r="G79" s="16" t="str">
        <x:v>Le compteur correspondant est incrémenté.</x:v>
      </x:c>
      <x:c r="H79" s="16" t="str">
        <x:v>Le compteur de la carte passe de 0 à 4 après les ajouts.</x:v>
      </x:c>
      <x:c r="I79" s="11" t="str">
        <x:v>OK</x:v>
      </x:c>
      <x:c r="J79" s="18" t="str">
        <x:v>Moyenne</x:v>
      </x:c>
      <x:c r="K79" s="17" t="str">
        <x:v>Corrigé et rejoué — compteur additionnels agrégé par escale.</x:v>
      </x:c>
    </x:row>
    <x:row r="80" ht="42" customHeight="1">
      <x:c r="A80" s="8" t="str">
        <x:v>Dangereux</x:v>
      </x:c>
      <x:c r="B80" s="9" t="str">
        <x:v>DNG-01</x:v>
      </x:c>
      <x:c r="C80" s="8" t="str">
        <x:v>Dangereux</x:v>
      </x:c>
      <x:c r="D80" s="8" t="str">
        <x:v>Vessel Planner</x:v>
      </x:c>
      <x:c r="E80" s="10" t="str">
        <x:v>Ajout d'un conteneur dangereux</x:v>
      </x:c>
      <x:c r="F80" s="10" t="str">
        <x:v>1. Saisir numéro, ligne, classe IMO, position et état du BADT. 2. Ajouter.</x:v>
      </x:c>
      <x:c r="G80" s="10" t="str">
        <x:v>La ligne apparaît dans le tableau.</x:v>
      </x:c>
      <x:c r="H80" s="10" t="str">
        <x:v>Le conteneur MSCU9000001 est ajouté avec classe IMO, position, validité et état BADT.</x:v>
      </x:c>
      <x:c r="I80" s="11" t="str">
        <x:v>OK</x:v>
      </x:c>
      <x:c r="J80" s="12" t="str">
        <x:v>Bloquante</x:v>
      </x:c>
      <x:c r="K80" s="13" t="str">
        <x:v>Corrigé et rejoué — état BADT et statut opérationnel disponibles dès l'ajout.</x:v>
      </x:c>
    </x:row>
    <x:row r="81" ht="42" customHeight="1">
      <x:c r="A81" s="14" t="str">
        <x:v>Dangereux</x:v>
      </x:c>
      <x:c r="B81" s="15" t="str">
        <x:v>DNG-02</x:v>
      </x:c>
      <x:c r="C81" s="14" t="str">
        <x:v>BADT</x:v>
      </x:c>
      <x:c r="D81" s="14" t="str">
        <x:v>Vessel Planner</x:v>
      </x:c>
      <x:c r="E81" s="16" t="str">
        <x:v>Valeurs de l'état du BADT</x:v>
      </x:c>
      <x:c r="F81" s="16" t="str">
        <x:v>1. Ouvrir la liste de l'état du BADT.</x:v>
      </x:c>
      <x:c r="G81" s="16" t="str">
        <x:v>Les trois valeurs attendues sont proposées.</x:v>
      </x:c>
      <x:c r="H81" s="16" t="str">
        <x:v>Les trois états BADT sont proposés : Non pris, Pris et À renouveler.</x:v>
      </x:c>
      <x:c r="I81" s="11" t="str">
        <x:v>OK</x:v>
      </x:c>
      <x:c r="J81" s="19" t="str">
        <x:v>Majeure</x:v>
      </x:c>
      <x:c r="K81" s="17" t="str">
        <x:v>Rejoué — contrôle des options du formulaire.</x:v>
      </x:c>
    </x:row>
    <x:row r="82" ht="42" customHeight="1">
      <x:c r="A82" s="8" t="str">
        <x:v>Dangereux</x:v>
      </x:c>
      <x:c r="B82" s="9" t="str">
        <x:v>DNG-03</x:v>
      </x:c>
      <x:c r="C82" s="8" t="str">
        <x:v>BADT</x:v>
      </x:c>
      <x:c r="D82" s="8" t="str">
        <x:v>Vessel Planner</x:v>
      </x:c>
      <x:c r="E82" s="10" t="str">
        <x:v>Repérage de l'état À renouveler</x:v>
      </x:c>
      <x:c r="F82" s="10" t="str">
        <x:v>1. Saisir un conteneur au BADT À renouveler. 2. Observer la ligne.</x:v>
      </x:c>
      <x:c r="G82" s="10" t="str">
        <x:v>La ligne fait l'objet d'un repérage visuel distinctif.</x:v>
      </x:c>
      <x:c r="H82" s="10" t="str">
        <x:v>La ligne À renouveler possède un fond rose et un badge danger distinctif.</x:v>
      </x:c>
      <x:c r="I82" s="11" t="str">
        <x:v>OK</x:v>
      </x:c>
      <x:c r="J82" s="12" t="str">
        <x:v>Bloquante</x:v>
      </x:c>
      <x:c r="K82" s="13" t="str">
        <x:v>Rejoué — contrôle du HTML rendu.</x:v>
      </x:c>
    </x:row>
    <x:row r="83" ht="42" customHeight="1">
      <x:c r="A83" s="14" t="str">
        <x:v>Dangereux</x:v>
      </x:c>
      <x:c r="B83" s="15" t="str">
        <x:v>DNG-04</x:v>
      </x:c>
      <x:c r="C83" s="14" t="str">
        <x:v>BADT</x:v>
      </x:c>
      <x:c r="D83" s="14" t="str">
        <x:v>Vessel Planner</x:v>
      </x:c>
      <x:c r="E83" s="16" t="str">
        <x:v>Repérage conservé à l'impression</x:v>
      </x:c>
      <x:c r="F83" s="16" t="str">
        <x:v>1. Générer le PDF. 2. Consulter la section 5.</x:v>
      </x:c>
      <x:c r="G83" s="16" t="str">
        <x:v>Le repérage de l'état À renouveler est visible sur le document imprimé.</x:v>
      </x:c>
      <x:c r="H83" s="16" t="str">
        <x:v>Dans le PDF, la ligne À renouveler reste sur fond rouge avec le symbole d'alerte.</x:v>
      </x:c>
      <x:c r="I83" s="11" t="str">
        <x:v>OK</x:v>
      </x:c>
      <x:c r="J83" s="19" t="str">
        <x:v>Majeure</x:v>
      </x:c>
      <x:c r="K83" s="17" t="str">
        <x:v>Corrigé et rejoué — rendu visuel Poppler, page 2.</x:v>
      </x:c>
    </x:row>
    <x:row r="84" ht="42" customHeight="1">
      <x:c r="A84" s="8" t="str">
        <x:v>Dangereux</x:v>
      </x:c>
      <x:c r="B84" s="9" t="str">
        <x:v>DNG-05</x:v>
      </x:c>
      <x:c r="C84" s="8" t="str">
        <x:v>Saisie multiple</x:v>
      </x:c>
      <x:c r="D84" s="8" t="str">
        <x:v>Vessel Planner</x:v>
      </x:c>
      <x:c r="E84" s="10" t="str">
        <x:v>Collage de plusieurs numéros</x:v>
      </x:c>
      <x:c r="F84" s="10" t="str">
        <x:v>1. Coller trois numéros. 2. Ajouter.</x:v>
      </x:c>
      <x:c r="G84" s="10" t="str">
        <x:v>Trois lignes sont créées.</x:v>
      </x:c>
      <x:c r="H84" s="10" t="str">
        <x:v>Un collage de trois numéros crée trois lignes de conteneurs dangereux.</x:v>
      </x:c>
      <x:c r="I84" s="11" t="str">
        <x:v>OK</x:v>
      </x:c>
      <x:c r="J84" s="18" t="str">
        <x:v>Moyenne</x:v>
      </x:c>
      <x:c r="K84" s="13" t="str">
        <x:v>Corrigé et rejoué — saisie multiligne normalisée.</x:v>
      </x:c>
    </x:row>
    <x:row r="85" ht="42" customHeight="1">
      <x:c r="A85" s="14" t="str">
        <x:v>Dangereux</x:v>
      </x:c>
      <x:c r="B85" s="15" t="str">
        <x:v>DNG-06</x:v>
      </x:c>
      <x:c r="C85" s="14" t="str">
        <x:v>Rapport</x:v>
      </x:c>
      <x:c r="D85" s="14" t="str">
        <x:v>Vessel Planner</x:v>
      </x:c>
      <x:c r="E85" s="16" t="str">
        <x:v>Reprise dans le rapport</x:v>
      </x:c>
      <x:c r="F85" s="16" t="str">
        <x:v>1. Ouvrir l'aperçu du rapport. 2. Consulter la section 5.</x:v>
      </x:c>
      <x:c r="G85" s="16" t="str">
        <x:v>Les dangereux figurent avec leur classe IMO et leur BADT.</x:v>
      </x:c>
      <x:c r="H85" s="16" t="str">
        <x:v>La section 5 du PDF contient conteneur, classe IMO, BADT et statut opérationnel.</x:v>
      </x:c>
      <x:c r="I85" s="11" t="str">
        <x:v>OK</x:v>
      </x:c>
      <x:c r="J85" s="19" t="str">
        <x:v>Majeure</x:v>
      </x:c>
      <x:c r="K85" s="17" t="str">
        <x:v>Rejoué — extraction texte et rendu visuel du PDF.</x:v>
      </x:c>
    </x:row>
    <x:row r="86" ht="42" customHeight="1">
      <x:c r="A86" s="8" t="str">
        <x:v>Dispatch STS</x:v>
      </x:c>
      <x:c r="B86" s="9" t="str">
        <x:v>STS-01</x:v>
      </x:c>
      <x:c r="C86" s="8" t="str">
        <x:v>Cadre</x:v>
      </x:c>
      <x:c r="D86" s="8" t="str">
        <x:v>Dispatch STS</x:v>
      </x:c>
      <x:c r="E86" s="10" t="str">
        <x:v>Rappel de la date et du shift</x:v>
      </x:c>
      <x:c r="F86" s="10" t="str">
        <x:v>1. Ouvrir l'écran STS. 2. Observer l'entête.</x:v>
      </x:c>
      <x:c r="G86" s="10" t="str">
        <x:v>La date et la période sont affichées et modifiables.</x:v>
      </x:c>
      <x:c r="H86" s="10" t="str">
        <x:v>La date du 24/07/2026 et le shift Matin sont affichés dans des contrôles modifiables.</x:v>
      </x:c>
      <x:c r="I86" s="11" t="str">
        <x:v>OK</x:v>
      </x:c>
      <x:c r="J86" s="12" t="str">
        <x:v>Bloquante</x:v>
      </x:c>
      <x:c r="K86" s="13" t="str">
        <x:v>Rejoué le 24/07/2026 — input date et liste shift actifs, non disabled/readonly.</x:v>
      </x:c>
    </x:row>
    <x:row r="87" ht="42" customHeight="1">
      <x:c r="A87" s="14" t="str">
        <x:v>Dispatch STS</x:v>
      </x:c>
      <x:c r="B87" s="15" t="str">
        <x:v>STS-02</x:v>
      </x:c>
      <x:c r="C87" s="14" t="str">
        <x:v>Cadre</x:v>
      </x:c>
      <x:c r="D87" s="14" t="str">
        <x:v>Dispatch STS</x:v>
      </x:c>
      <x:c r="E87" s="16" t="str">
        <x:v>Rattachement de la saisie au shift</x:v>
      </x:c>
      <x:c r="F87" s="16" t="str">
        <x:v>1. Saisir une donnée. 2. Changer la date. 3. Revenir à la date initiale.</x:v>
      </x:c>
      <x:c r="G87" s="16" t="str">
        <x:v>Chaque date conserve sa propre saisie.</x:v>
      </x:c>
      <x:c r="H87" s="16" t="str">
        <x:v>Les saisies du 24/07 sont absentes le 25/07 puis réapparaissent sans perte au retour.</x:v>
      </x:c>
      <x:c r="I87" s="11" t="str">
        <x:v>OK</x:v>
      </x:c>
      <x:c r="J87" s="12" t="str">
        <x:v>Bloquante</x:v>
      </x:c>
      <x:c r="K87" s="17" t="str">
        <x:v>Corrigé et rejoué — affectations, incidents, pointeurs et ROPN filtrés par date/shift.</x:v>
      </x:c>
    </x:row>
    <x:row r="88" ht="42" customHeight="1">
      <x:c r="A88" s="8" t="str">
        <x:v>Dispatch STS</x:v>
      </x:c>
      <x:c r="B88" s="9" t="str">
        <x:v>STS-03</x:v>
      </x:c>
      <x:c r="C88" s="8" t="str">
        <x:v>Navires</x:v>
      </x:c>
      <x:c r="D88" s="8" t="str">
        <x:v>Dispatch STS</x:v>
      </x:c>
      <x:c r="E88" s="10" t="str">
        <x:v>Liste des navires en lecture seule</x:v>
      </x:c>
      <x:c r="F88" s="10" t="str">
        <x:v>1. Observer le tableau des navires. 2. Tenter de modifier une valeur.</x:v>
      </x:c>
      <x:c r="G88" s="10" t="str">
        <x:v>Le tableau n'est pas modifiable.</x:v>
      </x:c>
      <x:c r="H88" s="10" t="str">
        <x:v>La ligne navire est affichée en lecture seule, sans champ de modification.</x:v>
      </x:c>
      <x:c r="I88" s="11" t="str">
        <x:v>OK</x:v>
      </x:c>
      <x:c r="J88" s="19" t="str">
        <x:v>Majeure</x:v>
      </x:c>
      <x:c r="K88" s="13" t="str">
        <x:v>Rejoué — contrôle du HTML de la ligne navire.</x:v>
      </x:c>
    </x:row>
    <x:row r="89" ht="42" customHeight="1">
      <x:c r="A89" s="14" t="str">
        <x:v>Dispatch STS</x:v>
      </x:c>
      <x:c r="B89" s="15" t="str">
        <x:v>STS-04</x:v>
      </x:c>
      <x:c r="C89" s="14" t="str">
        <x:v>Portiques</x:v>
      </x:c>
      <x:c r="D89" s="14" t="str">
        <x:v>Dispatch STS</x:v>
      </x:c>
      <x:c r="E89" s="16" t="str">
        <x:v>Présence des huit portiques</x:v>
      </x:c>
      <x:c r="F89" s="16" t="str">
        <x:v>1. Observer la rangée des portiques.</x:v>
      </x:c>
      <x:c r="G89" s="16" t="str">
        <x:v>Les portiques CR1 à CR8 sont présents.</x:v>
      </x:c>
      <x:c r="H89" s="16" t="str">
        <x:v>Les huit portiques CR1 à CR8 sont présents.</x:v>
      </x:c>
      <x:c r="I89" s="11" t="str">
        <x:v>OK</x:v>
      </x:c>
      <x:c r="J89" s="12" t="str">
        <x:v>Bloquante</x:v>
      </x:c>
      <x:c r="K89" s="17" t="str">
        <x:v>Rejoué — pool fixe complet contrôlé dans le HTML.</x:v>
      </x:c>
    </x:row>
    <x:row r="90" ht="42" customHeight="1">
      <x:c r="A90" s="8" t="str">
        <x:v>Dispatch STS</x:v>
      </x:c>
      <x:c r="B90" s="9" t="str">
        <x:v>STS-05</x:v>
      </x:c>
      <x:c r="C90" s="8" t="str">
        <x:v>Portiques</x:v>
      </x:c>
      <x:c r="D90" s="8" t="str">
        <x:v>Dispatch STS</x:v>
      </x:c>
      <x:c r="E90" s="10" t="str">
        <x:v>Changement de statut d'un portique</x:v>
      </x:c>
      <x:c r="F90" s="10" t="str">
        <x:v>1. Passer un portique En panne. 2. Observer son apparence.</x:v>
      </x:c>
      <x:c r="G90" s="10" t="str">
        <x:v>Le statut est enregistré et la bulle change d'apparence.</x:v>
      </x:c>
      <x:c r="H90" s="10" t="str">
        <x:v>CR1 passe En panne et sa bulle prend l'apparence danger.</x:v>
      </x:c>
      <x:c r="I90" s="11" t="str">
        <x:v>OK</x:v>
      </x:c>
      <x:c r="J90" s="12" t="str">
        <x:v>Bloquante</x:v>
      </x:c>
      <x:c r="K90" s="13" t="str">
        <x:v>Rejoué — POST ChangeGantryStatus, statut persisté et badge danger.</x:v>
      </x:c>
    </x:row>
    <x:row r="91" ht="42" customHeight="1">
      <x:c r="A91" s="14" t="str">
        <x:v>Dispatch STS</x:v>
      </x:c>
      <x:c r="B91" s="15" t="str">
        <x:v>STS-06</x:v>
      </x:c>
      <x:c r="C91" s="14" t="str">
        <x:v>Portiques</x:v>
      </x:c>
      <x:c r="D91" s="14" t="str">
        <x:v>Dispatch STS</x:v>
      </x:c>
      <x:c r="E91" s="16" t="str">
        <x:v>Saisie du type de panne</x:v>
      </x:c>
      <x:c r="F91" s="16" t="str">
        <x:v>1. Passer un portique non affecté En panne. 2. Observer la zone de saisie.</x:v>
      </x:c>
      <x:c r="G91" s="16" t="str">
        <x:v>Un champ de type de panne et une cause apparaissent sur la bulle, sans fenêtre intermédiaire.</x:v>
      </x:c>
      <x:c r="H91" s="16" t="str">
        <x:v>Le type de panne et la cause apparaissent directement dans la bulle du portique.</x:v>
      </x:c>
      <x:c r="I91" s="11" t="str">
        <x:v>OK</x:v>
      </x:c>
      <x:c r="J91" s="12" t="str">
        <x:v>Bloquante</x:v>
      </x:c>
      <x:c r="K91" s="17" t="str">
        <x:v>Corrigé et rejoué — formulaire inline sans fenêtre modale.</x:v>
      </x:c>
    </x:row>
    <x:row r="92" ht="42" customHeight="1">
      <x:c r="A92" s="8" t="str">
        <x:v>Dispatch STS</x:v>
      </x:c>
      <x:c r="B92" s="9" t="str">
        <x:v>STS-07</x:v>
      </x:c>
      <x:c r="C92" s="8" t="str">
        <x:v>Portiques</x:v>
      </x:c>
      <x:c r="D92" s="8" t="str">
        <x:v>Dispatch STS</x:v>
      </x:c>
      <x:c r="E92" s="10" t="str">
        <x:v>Interdiction d'affecter un portique en panne</x:v>
      </x:c>
      <x:c r="F92" s="10" t="str">
        <x:v>1. Tenter de glisser un portique En panne sur un navire.</x:v>
      </x:c>
      <x:c r="G92" s="10" t="str">
        <x:v>L'affectation est refusée.</x:v>
      </x:c>
      <x:c r="H92" s="10" t="str">
        <x:v>L'affectation d'un portique en panne est refusée et aucune ligne n'est créée.</x:v>
      </x:c>
      <x:c r="I92" s="11" t="str">
        <x:v>OK</x:v>
      </x:c>
      <x:c r="J92" s="12" t="str">
        <x:v>Bloquante</x:v>
      </x:c>
      <x:c r="K92" s="13" t="str">
        <x:v>Corrigé et rejoué — validation FluentValidation et garde du handler.</x:v>
      </x:c>
    </x:row>
    <x:row r="93" ht="42" customHeight="1">
      <x:c r="A93" s="14" t="str">
        <x:v>Dispatch STS</x:v>
      </x:c>
      <x:c r="B93" s="15" t="str">
        <x:v>STS-08</x:v>
      </x:c>
      <x:c r="C93" s="14" t="str">
        <x:v>Portiques</x:v>
      </x:c>
      <x:c r="D93" s="14" t="str">
        <x:v>Dispatch STS</x:v>
      </x:c>
      <x:c r="E93" s="16" t="str">
        <x:v>Clôture automatique de la panne</x:v>
      </x:c>
      <x:c r="F93" s="16" t="str">
        <x:v>1. Repasser un portique En panne au statut En service. 2. Consulter le tableau des incidents portiques.</x:v>
      </x:c>
      <x:c r="G93" s="16" t="str">
        <x:v>L'incident de panne est clôturé avec une heure de fin.</x:v>
      </x:c>
      <x:c r="H93" s="16" t="str">
        <x:v>La remise en service clôture automatiquement la panne avec une heure de fin.</x:v>
      </x:c>
      <x:c r="I93" s="11" t="str">
        <x:v>OK</x:v>
      </x:c>
      <x:c r="J93" s="19" t="str">
        <x:v>Majeure</x:v>
      </x:c>
      <x:c r="K93" s="17" t="str">
        <x:v>Corrigé et rejoué — incident portique passé Repris avec fin calculée.</x:v>
      </x:c>
    </x:row>
    <x:row r="94" ht="42" customHeight="1">
      <x:c r="A94" s="8" t="str">
        <x:v>Dispatch STS</x:v>
      </x:c>
      <x:c r="B94" s="9" t="str">
        <x:v>STS-09</x:v>
      </x:c>
      <x:c r="C94" s="8" t="str">
        <x:v>Affectation</x:v>
      </x:c>
      <x:c r="D94" s="8" t="str">
        <x:v>Dispatch STS</x:v>
      </x:c>
      <x:c r="E94" s="10" t="str">
        <x:v>Affectation par glisser-déposer</x:v>
      </x:c>
      <x:c r="F94" s="10" t="str">
        <x:v>1. Glisser un portique En service sur la carte d'un navire. 2. Relâcher.</x:v>
      </x:c>
      <x:c r="G94" s="10" t="str">
        <x:v>Le portique apparaît affecté au navire.</x:v>
      </x:c>
      <x:c r="H94" s="10" t="str">
        <x:v>Le glisser-déposer est câblé vers l'affectation et crée la liaison portique/navire.</x:v>
      </x:c>
      <x:c r="I94" s="11" t="str">
        <x:v>OK</x:v>
      </x:c>
      <x:c r="J94" s="12" t="str">
        <x:v>Bloquante</x:v>
      </x:c>
      <x:c r="K94" s="13" t="str">
        <x:v>Corrigé et rejoué — HTML draggable/dropzone + même contrat POST AssignGantry exécuté.</x:v>
      </x:c>
    </x:row>
    <x:row r="95" ht="42" customHeight="1">
      <x:c r="A95" s="14" t="str">
        <x:v>Dispatch STS</x:v>
      </x:c>
      <x:c r="B95" s="15" t="str">
        <x:v>STS-10</x:v>
      </x:c>
      <x:c r="C95" s="14" t="str">
        <x:v>Affectation</x:v>
      </x:c>
      <x:c r="D95" s="14" t="str">
        <x:v>Dispatch STS</x:v>
      </x:c>
      <x:c r="E95" s="16" t="str">
        <x:v>Heure de début automatique</x:v>
      </x:c>
      <x:c r="F95" s="16" t="str">
        <x:v>1. Affecter un portique. 2. Observer l'heure affichée.</x:v>
      </x:c>
      <x:c r="G95" s="16" t="str">
        <x:v>L'heure de début est renseignée automatiquement à l'instant de l'affectation.</x:v>
      </x:c>
      <x:c r="H95" s="16" t="str">
        <x:v>L'heure de début est enregistrée automatiquement au moment de l'affectation.</x:v>
      </x:c>
      <x:c r="I95" s="11" t="str">
        <x:v>OK</x:v>
      </x:c>
      <x:c r="J95" s="19" t="str">
        <x:v>Majeure</x:v>
      </x:c>
      <x:c r="K95" s="17" t="str">
        <x:v>Corrigé et rejoué — champ optionnel, heure persistée dans la minute du POST.</x:v>
      </x:c>
    </x:row>
    <x:row r="96" ht="42" customHeight="1">
      <x:c r="A96" s="8" t="str">
        <x:v>Dispatch STS</x:v>
      </x:c>
      <x:c r="B96" s="9" t="str">
        <x:v>STS-11</x:v>
      </x:c>
      <x:c r="C96" s="8" t="str">
        <x:v>Affectation</x:v>
      </x:c>
      <x:c r="D96" s="8" t="str">
        <x:v>Dispatch STS</x:v>
      </x:c>
      <x:c r="E96" s="10" t="str">
        <x:v>Correction de l'heure de début</x:v>
      </x:c>
      <x:c r="F96" s="10" t="str">
        <x:v>1. Modifier l'heure de début d'une affectation. 2. Recharger l'écran.</x:v>
      </x:c>
      <x:c r="G96" s="10" t="str">
        <x:v>La correction est conservée.</x:v>
      </x:c>
      <x:c r="H96" s="10" t="str">
        <x:v>L'heure de début corrigée à 08:00 est conservée après rechargement.</x:v>
      </x:c>
      <x:c r="I96" s="11" t="str">
        <x:v>OK</x:v>
      </x:c>
      <x:c r="J96" s="19" t="str">
        <x:v>Majeure</x:v>
      </x:c>
      <x:c r="K96" s="13" t="str">
        <x:v>Corrigé et rejoué — commande UpdateGantryAssignment.</x:v>
      </x:c>
    </x:row>
    <x:row r="97" ht="42" customHeight="1">
      <x:c r="A97" s="14" t="str">
        <x:v>Dispatch STS</x:v>
      </x:c>
      <x:c r="B97" s="15" t="str">
        <x:v>STS-12</x:v>
      </x:c>
      <x:c r="C97" s="14" t="str">
        <x:v>Affectation</x:v>
      </x:c>
      <x:c r="D97" s="14" t="str">
        <x:v>Dispatch STS</x:v>
      </x:c>
      <x:c r="E97" s="16" t="str">
        <x:v>Retrait d'un portique</x:v>
      </x:c>
      <x:c r="F97" s="16" t="str">
        <x:v>1. Cliquer sur le bouton de retrait d'un portique affecté.</x:v>
      </x:c>
      <x:c r="G97" s="16" t="str">
        <x:v>L'affectation est close avec une heure de fin ; la ligne est conservée.</x:v>
      </x:c>
      <x:c r="H97" s="16" t="str">
        <x:v>Le retrait clôture la ligne à 09:00 sans supprimer l'historique.</x:v>
      </x:c>
      <x:c r="I97" s="11" t="str">
        <x:v>OK</x:v>
      </x:c>
      <x:c r="J97" s="12" t="str">
        <x:v>Bloquante</x:v>
      </x:c>
      <x:c r="K97" s="17" t="str">
        <x:v>Rejoué — EndGantryAssignment avec heure de fin explicite.</x:v>
      </x:c>
    </x:row>
    <x:row r="98" ht="42" customHeight="1">
      <x:c r="A98" s="8" t="str">
        <x:v>Dispatch STS</x:v>
      </x:c>
      <x:c r="B98" s="9" t="str">
        <x:v>STS-13</x:v>
      </x:c>
      <x:c r="C98" s="8" t="str">
        <x:v>Affectation</x:v>
      </x:c>
      <x:c r="D98" s="8" t="str">
        <x:v>Dispatch STS</x:v>
      </x:c>
      <x:c r="E98" s="10" t="str">
        <x:v>Calcul du temps de travail</x:v>
      </x:c>
      <x:c r="F98" s="10" t="str">
        <x:v>1. Affecter un portique puis le retirer une heure plus tard. 2. Consulter la durée.</x:v>
      </x:c>
      <x:c r="G98" s="10" t="str">
        <x:v>La durée correspond à l'écart entre les deux heures.</x:v>
      </x:c>
      <x:c r="H98" s="10" t="str">
        <x:v>Une affectation de 08:00 à 09:00 affiche une durée de 1h00.</x:v>
      </x:c>
      <x:c r="I98" s="11" t="str">
        <x:v>OK</x:v>
      </x:c>
      <x:c r="J98" s="12" t="str">
        <x:v>Bloquante</x:v>
      </x:c>
      <x:c r="K98" s="13" t="str">
        <x:v>Corrigé et rejoué — durée calculée et affichée.</x:v>
      </x:c>
    </x:row>
    <x:row r="99" ht="42" customHeight="1">
      <x:c r="A99" s="14" t="str">
        <x:v>Dispatch STS</x:v>
      </x:c>
      <x:c r="B99" s="15" t="str">
        <x:v>STS-14</x:v>
      </x:c>
      <x:c r="C99" s="14" t="str">
        <x:v>Affectation</x:v>
      </x:c>
      <x:c r="D99" s="14" t="str">
        <x:v>Dispatch STS</x:v>
      </x:c>
      <x:c r="E99" s="16" t="str">
        <x:v>Réaffectation après retrait</x:v>
      </x:c>
      <x:c r="F99" s="16" t="str">
        <x:v>1. Retirer un portique. 2. L'affecter à un autre navire.</x:v>
      </x:c>
      <x:c r="G99" s="16" t="str">
        <x:v>La nouvelle affectation est créée sans écraser la précédente.</x:v>
      </x:c>
      <x:c r="H99" s="16" t="str">
        <x:v>CR2 est réaffecté au second navire sans écraser la première affectation.</x:v>
      </x:c>
      <x:c r="I99" s="11" t="str">
        <x:v>OK</x:v>
      </x:c>
      <x:c r="J99" s="19" t="str">
        <x:v>Majeure</x:v>
      </x:c>
      <x:c r="K99" s="17" t="str">
        <x:v>Rejoué — deux lignes distinctes et historique conservé.</x:v>
      </x:c>
    </x:row>
    <x:row r="100" ht="42" customHeight="1">
      <x:c r="A100" s="8" t="str">
        <x:v>Dispatch STS</x:v>
      </x:c>
      <x:c r="B100" s="9" t="str">
        <x:v>STS-15</x:v>
      </x:c>
      <x:c r="C100" s="8" t="str">
        <x:v>Incidents</x:v>
      </x:c>
      <x:c r="D100" s="8" t="str">
        <x:v>Dispatch STS</x:v>
      </x:c>
      <x:c r="E100" s="10" t="str">
        <x:v>Incident portique</x:v>
      </x:c>
      <x:c r="F100" s="10" t="str">
        <x:v>1. Déclarer un incident sur un portique affecté. 2. Consulter le tableau.</x:v>
      </x:c>
      <x:c r="G100" s="10" t="str">
        <x:v>L'incident apparaît avec son navire, son type et ses bornes horaires.</x:v>
      </x:c>
      <x:c r="H100" s="10" t="str">
        <x:v>L'incident CR3 apparaît avec navire, type, début et fin.</x:v>
      </x:c>
      <x:c r="I100" s="11" t="str">
        <x:v>OK</x:v>
      </x:c>
      <x:c r="J100" s="12" t="str">
        <x:v>Bloquante</x:v>
      </x:c>
      <x:c r="K100" s="13" t="str">
        <x:v>Rejoué — POST AddStsIncident et contrôle de la ligne.</x:v>
      </x:c>
    </x:row>
    <x:row r="101" ht="42" customHeight="1">
      <x:c r="A101" s="14" t="str">
        <x:v>Dispatch STS</x:v>
      </x:c>
      <x:c r="B101" s="15" t="str">
        <x:v>STS-16</x:v>
      </x:c>
      <x:c r="C101" s="14" t="str">
        <x:v>Incidents</x:v>
      </x:c>
      <x:c r="D101" s="14" t="str">
        <x:v>Dispatch STS</x:v>
      </x:c>
      <x:c r="E101" s="16" t="str">
        <x:v>Modification d'un incident portique</x:v>
      </x:c>
      <x:c r="F101" s="16" t="str">
        <x:v>1. Modifier le navire, le type puis les heures d'une ligne d'incident. 2. Recharger.</x:v>
      </x:c>
      <x:c r="G101" s="16" t="str">
        <x:v>Les modifications sont conservées et la durée est recalculée.</x:v>
      </x:c>
      <x:c r="H101" s="16" t="str">
        <x:v>Navire, type et heures sont modifiables ; la durée est recalculée à 2h00.</x:v>
      </x:c>
      <x:c r="I101" s="11" t="str">
        <x:v>OK</x:v>
      </x:c>
      <x:c r="J101" s="19" t="str">
        <x:v>Majeure</x:v>
      </x:c>
      <x:c r="K101" s="17" t="str">
        <x:v>Corrigé et rejoué — commande UpdateStsIncident et persistance.</x:v>
      </x:c>
    </x:row>
    <x:row r="102" ht="42" customHeight="1">
      <x:c r="A102" s="8" t="str">
        <x:v>Dispatch STS</x:v>
      </x:c>
      <x:c r="B102" s="9" t="str">
        <x:v>STS-17</x:v>
      </x:c>
      <x:c r="C102" s="8" t="str">
        <x:v>Incidents</x:v>
      </x:c>
      <x:c r="D102" s="8" t="str">
        <x:v>Dispatch STS</x:v>
      </x:c>
      <x:c r="E102" s="10" t="str">
        <x:v>Distinction incident navire et panne portique</x:v>
      </x:c>
      <x:c r="F102" s="10" t="str">
        <x:v>1. Ouvrir la rubrique des incidents navire. 2. Comparer avec les incidents portique.</x:v>
      </x:c>
      <x:c r="G102" s="10" t="str">
        <x:v>Les deux registres sont distincts et proposent des listes de causes différentes.</x:v>
      </x:c>
      <x:c r="H102" s="10" t="str">
        <x:v>Les incidents navire et pannes portique disposent de deux registres et listes distincts.</x:v>
      </x:c>
      <x:c r="I102" s="11" t="str">
        <x:v>OK</x:v>
      </x:c>
      <x:c r="J102" s="19" t="str">
        <x:v>Majeure</x:v>
      </x:c>
      <x:c r="K102" s="13" t="str">
        <x:v>Corrigé et rejoué — listes Attente documents navire et Panne spreader séparées.</x:v>
      </x:c>
    </x:row>
    <x:row r="103" ht="42" customHeight="1">
      <x:c r="A103" s="14" t="str">
        <x:v>Dispatch STS</x:v>
      </x:c>
      <x:c r="B103" s="15" t="str">
        <x:v>STS-18</x:v>
      </x:c>
      <x:c r="C103" s="14" t="str">
        <x:v>Pointeurs</x:v>
      </x:c>
      <x:c r="D103" s="14" t="str">
        <x:v>Dispatch STS</x:v>
      </x:c>
      <x:c r="E103" s="16" t="str">
        <x:v>Saisie d'un pointeur</x:v>
      </x:c>
      <x:c r="F103" s="16" t="str">
        <x:v>1. Saisir un pointeur avec son rôle terre ou bord et ses horaires. 2. Ajouter.</x:v>
      </x:c>
      <x:c r="G103" s="16" t="str">
        <x:v>La ligne apparaît avec sa durée calculée.</x:v>
      </x:c>
      <x:c r="H103" s="16" t="str">
        <x:v>Un pointeur Terre avec ses deux horaires affiche une durée de 1h30.</x:v>
      </x:c>
      <x:c r="I103" s="11" t="str">
        <x:v>OK</x:v>
      </x:c>
      <x:c r="J103" s="19" t="str">
        <x:v>Majeure</x:v>
      </x:c>
      <x:c r="K103" s="17" t="str">
        <x:v>Corrigé et rejoué — ajout, rôle Terre et durée calculée.</x:v>
      </x:c>
    </x:row>
    <x:row r="104" ht="42" customHeight="1">
      <x:c r="A104" s="8" t="str">
        <x:v>Dispatch STS</x:v>
      </x:c>
      <x:c r="B104" s="9" t="str">
        <x:v>STS-19</x:v>
      </x:c>
      <x:c r="C104" s="8" t="str">
        <x:v>ROPN</x:v>
      </x:c>
      <x:c r="D104" s="8" t="str">
        <x:v>Dispatch STS</x:v>
      </x:c>
      <x:c r="E104" s="10" t="str">
        <x:v>Saisie d'un ROPN</x:v>
      </x:c>
      <x:c r="F104" s="10" t="str">
        <x:v>1. Saisir un ROPN avec ses horaires et une difficulté. 2. Ajouter.</x:v>
      </x:c>
      <x:c r="G104" s="10" t="str">
        <x:v>La ligne apparaît avec sa durée calculée.</x:v>
      </x:c>
      <x:c r="H104" s="10" t="str">
        <x:v>Un ROPN avec ses horaires et sa difficulté affiche une durée de 1h15.</x:v>
      </x:c>
      <x:c r="I104" s="11" t="str">
        <x:v>OK</x:v>
      </x:c>
      <x:c r="J104" s="19" t="str">
        <x:v>Majeure</x:v>
      </x:c>
      <x:c r="K104" s="13" t="str">
        <x:v>Corrigé et rejoué — champs DateDebutUtc/DateFinUtc persistés par migration.</x:v>
      </x:c>
    </x:row>
    <x:row r="105" ht="42" customHeight="1">
      <x:c r="A105" s="14" t="str">
        <x:v>Dispatch STS</x:v>
      </x:c>
      <x:c r="B105" s="15" t="str">
        <x:v>STS-20</x:v>
      </x:c>
      <x:c r="C105" s="14" t="str">
        <x:v>Interface</x:v>
      </x:c>
      <x:c r="D105" s="14" t="str">
        <x:v>Dispatch STS</x:v>
      </x:c>
      <x:c r="E105" s="16" t="str">
        <x:v>Reprise du nombre de tracteurs</x:v>
      </x:c>
      <x:c r="F105" s="16" t="str">
        <x:v>1. Saisir une répartition en Dispatch TT. 2. Revenir en STS. 3. Actualiser.</x:v>
      </x:c>
      <x:c r="G105" s="16" t="str">
        <x:v>Le nombre de tracteurs par navire est repris sans ressaisie.</x:v>
      </x:c>
      <x:c r="H105" s="16" t="str">
        <x:v>Les 7 tracteurs affectés côté TT sont repris sur la ligne du navire côté STS.</x:v>
      </x:c>
      <x:c r="I105" s="11" t="str">
        <x:v>OK</x:v>
      </x:c>
      <x:c r="J105" s="19" t="str">
        <x:v>Majeure</x:v>
      </x:c>
      <x:c r="K105" s="17" t="str">
        <x:v>Corrigé et rejoué — dernière répartition TT agrégée par escale.</x:v>
      </x:c>
    </x:row>
    <x:row r="106" ht="42" customHeight="1">
      <x:c r="A106" s="8" t="str">
        <x:v>Dispatch TT</x:v>
      </x:c>
      <x:c r="B106" s="9" t="str">
        <x:v>TT-01</x:v>
      </x:c>
      <x:c r="C106" s="8" t="str">
        <x:v>Effectif</x:v>
      </x:c>
      <x:c r="D106" s="8" t="str">
        <x:v>Dispatch TT</x:v>
      </x:c>
      <x:c r="E106" s="10" t="str">
        <x:v>Saisie de l'effectif</x:v>
      </x:c>
      <x:c r="F106" s="10" t="str">
        <x:v>1. Saisir un total de 20 et 15 désignés. 2. Quitter les champs.</x:v>
      </x:c>
      <x:c r="G106" s="10" t="str">
        <x:v>Les valeurs sont enregistrées.</x:v>
      </x:c>
      <x:c r="H106" s="10" t="str">
        <x:v>20 total et 15 désignés sont persistés et restitués après rechargement.</x:v>
      </x:c>
      <x:c r="I106" s="11" t="str">
        <x:v>OK</x:v>
      </x:c>
      <x:c r="J106" s="12" t="str">
        <x:v>Bloquante</x:v>
      </x:c>
      <x:c r="K106" s="13" t="str">
        <x:v>Rejoué le 27/07/2026 — HTTP authentifié + HTML rendu.</x:v>
      </x:c>
    </x:row>
    <x:row r="107" ht="42" customHeight="1">
      <x:c r="A107" s="14" t="str">
        <x:v>Dispatch TT</x:v>
      </x:c>
      <x:c r="B107" s="15" t="str">
        <x:v>TT-02</x:v>
      </x:c>
      <x:c r="C107" s="14" t="str">
        <x:v>Calcul</x:v>
      </x:c>
      <x:c r="D107" s="14" t="str">
        <x:v>Dispatch TT</x:v>
      </x:c>
      <x:c r="E107" s="16" t="str">
        <x:v>Calcul des non-désignés</x:v>
      </x:c>
      <x:c r="F107" s="16" t="str">
        <x:v>1. Avec 20 et 15 saisis, observer le nombre de non-désignés.</x:v>
      </x:c>
      <x:c r="G107" s="16" t="str">
        <x:v>La valeur affichée est 5.</x:v>
      </x:c>
      <x:c r="H107" s="16" t="str">
        <x:v>Avec 20 au parc et 15 désignés, la valeur calculée Non désignés est 5.</x:v>
      </x:c>
      <x:c r="I107" s="11" t="str">
        <x:v>OK</x:v>
      </x:c>
      <x:c r="J107" s="12" t="str">
        <x:v>Bloquante</x:v>
      </x:c>
      <x:c r="K107" s="17" t="str">
        <x:v>Rejoué le 27/07/2026 — persistance SQL TotalParc=20, Designes=15, calcul=5.</x:v>
      </x:c>
    </x:row>
    <x:row r="108" ht="42" customHeight="1">
      <x:c r="A108" s="8" t="str">
        <x:v>Dispatch TT</x:v>
      </x:c>
      <x:c r="B108" s="9" t="str">
        <x:v>TT-03</x:v>
      </x:c>
      <x:c r="C108" s="8" t="str">
        <x:v>Raisons</x:v>
      </x:c>
      <x:c r="D108" s="8" t="str">
        <x:v>Dispatch TT</x:v>
      </x:c>
      <x:c r="E108" s="10" t="str">
        <x:v>Saisie des raisons d'écart</x:v>
      </x:c>
      <x:c r="F108" s="10" t="str">
        <x:v>1. Ajouter une raison expliquant les tracteurs non désignés.</x:v>
      </x:c>
      <x:c r="G108" s="10" t="str">
        <x:v>La raison est enregistrée et visible dans le récapitulatif.</x:v>
      </x:c>
      <x:c r="H108" s="10" t="str">
        <x:v>La raison de non-désignation est persistée et visible après rechargement.</x:v>
      </x:c>
      <x:c r="I108" s="11" t="str">
        <x:v>OK</x:v>
      </x:c>
      <x:c r="J108" s="19" t="str">
        <x:v>Majeure</x:v>
      </x:c>
      <x:c r="K108" s="13" t="str">
        <x:v>Rejoué le 27/07/2026 — HTTP authentifié + HTML rendu.</x:v>
      </x:c>
    </x:row>
    <x:row r="109" ht="42" customHeight="1">
      <x:c r="A109" s="14" t="str">
        <x:v>Dispatch TT</x:v>
      </x:c>
      <x:c r="B109" s="15" t="str">
        <x:v>TT-04</x:v>
      </x:c>
      <x:c r="C109" s="14" t="str">
        <x:v>Répartition</x:v>
      </x:c>
      <x:c r="D109" s="14" t="str">
        <x:v>Dispatch TT</x:v>
      </x:c>
      <x:c r="E109" s="16" t="str">
        <x:v>Répartition entre navires</x:v>
      </x:c>
      <x:c r="F109" s="16" t="str">
        <x:v>1. Affecter des tracteurs à deux navires, au parc et aux transferts.</x:v>
      </x:c>
      <x:c r="G109" s="16" t="str">
        <x:v>Les valeurs sont enregistrées par destination.</x:v>
      </x:c>
      <x:c r="H109" s="16" t="str">
        <x:v>Non exécuté à ce stade. Les prérequis sont désormais disponibles ; scénario à rejouer avant qualification.</x:v>
      </x:c>
      <x:c r="I109" s="11" t="str">
        <x:v>Non testé</x:v>
      </x:c>
      <x:c r="J109" s="12" t="str">
        <x:v>Bloquante</x:v>
      </x:c>
      <x:c r="K109" s="17" t="str">
        <x:v>Requalifié méthodologiquement le 24/07/2026 : aucun blocage actif ni écart fonctionnel démontré.</x:v>
      </x:c>
    </x:row>
    <x:row r="110" ht="42" customHeight="1">
      <x:c r="A110" s="8" t="str">
        <x:v>Dispatch TT</x:v>
      </x:c>
      <x:c r="B110" s="9" t="str">
        <x:v>TT-05</x:v>
      </x:c>
      <x:c r="C110" s="8" t="str">
        <x:v>Calcul</x:v>
      </x:c>
      <x:c r="D110" s="8" t="str">
        <x:v>Dispatch TT</x:v>
      </x:c>
      <x:c r="E110" s="10" t="str">
        <x:v>Total affecté</x:v>
      </x:c>
      <x:c r="F110" s="10" t="str">
        <x:v>1. Saisir 5, 4, 3 et 2 sur quatre destinations. 2. Observer le total.</x:v>
      </x:c>
      <x:c r="G110" s="10" t="str">
        <x:v>Le total affiché est 14.</x:v>
      </x:c>
      <x:c r="H110" s="10" t="str">
        <x:v>Non exécuté à ce stade. Les prérequis sont désormais disponibles ; scénario à rejouer avant qualification.</x:v>
      </x:c>
      <x:c r="I110" s="11" t="str">
        <x:v>Non testé</x:v>
      </x:c>
      <x:c r="J110" s="12" t="str">
        <x:v>Bloquante</x:v>
      </x:c>
      <x:c r="K110" s="13" t="str">
        <x:v>Requalifié méthodologiquement le 24/07/2026 : aucun blocage actif ni écart fonctionnel démontré.</x:v>
      </x:c>
    </x:row>
    <x:row r="111" ht="42" customHeight="1">
      <x:c r="A111" s="14" t="str">
        <x:v>Dispatch TT</x:v>
      </x:c>
      <x:c r="B111" s="15" t="str">
        <x:v>TT-06</x:v>
      </x:c>
      <x:c r="C111" s="14" t="str">
        <x:v>Interface</x:v>
      </x:c>
      <x:c r="D111" s="14" t="str">
        <x:v>Dispatch TT</x:v>
      </x:c>
      <x:c r="E111" s="16" t="str">
        <x:v>Transmission vers le poste STS</x:v>
      </x:c>
      <x:c r="F111" s="16" t="str">
        <x:v>1. Enregistrer la répartition. 2. Se connecter en STS sur le même shift.</x:v>
      </x:c>
      <x:c r="G111" s="16" t="str">
        <x:v>Le nombre de tracteurs par navire est visible côté STS.</x:v>
      </x:c>
      <x:c r="H111" s="16" t="str">
        <x:v>La répartition TT par navire est reprise dans le poste STS sans ressaisie.</x:v>
      </x:c>
      <x:c r="I111" s="11" t="str">
        <x:v>OK</x:v>
      </x:c>
      <x:c r="J111" s="19" t="str">
        <x:v>Majeure</x:v>
      </x:c>
      <x:c r="K111" s="17" t="str">
        <x:v>Rejoué le 27/07/2026 — preuve croisée STS-20.</x:v>
      </x:c>
    </x:row>
    <x:row r="112" ht="42" customHeight="1">
      <x:c r="A112" s="8" t="str">
        <x:v>Dispatch TT</x:v>
      </x:c>
      <x:c r="B112" s="9" t="str">
        <x:v>TT-07</x:v>
      </x:c>
      <x:c r="C112" s="8" t="str">
        <x:v>Déconnexions</x:v>
      </x:c>
      <x:c r="D112" s="8" t="str">
        <x:v>Dispatch TT</x:v>
      </x:c>
      <x:c r="E112" s="10" t="str">
        <x:v>Saisie d'une déconnexion</x:v>
      </x:c>
      <x:c r="F112" s="10" t="str">
        <x:v>1. Saisir le tracteur, l'heure de départ, l'heure de retour et le motif. 2. Ajouter.</x:v>
      </x:c>
      <x:c r="G112" s="10" t="str">
        <x:v>La ligne apparaît avec sa durée calculée.</x:v>
      </x:c>
      <x:c r="H112" s="10" t="str">
        <x:v>La déconnexion affiche tracteur, départ, retour automatique, motif et durée.</x:v>
      </x:c>
      <x:c r="I112" s="11" t="str">
        <x:v>OK</x:v>
      </x:c>
      <x:c r="J112" s="12" t="str">
        <x:v>Bloquante</x:v>
      </x:c>
      <x:c r="K112" s="13" t="str">
        <x:v>Rejoué le 27/07/2026 — HTTP + persistance, durée calculée.</x:v>
      </x:c>
    </x:row>
    <x:row r="113" ht="42" customHeight="1">
      <x:c r="A113" s="14" t="str">
        <x:v>Dispatch TT</x:v>
      </x:c>
      <x:c r="B113" s="15" t="str">
        <x:v>TT-08</x:v>
      </x:c>
      <x:c r="C113" s="14" t="str">
        <x:v>Déconnexions</x:v>
      </x:c>
      <x:c r="D113" s="14" t="str">
        <x:v>Dispatch TT</x:v>
      </x:c>
      <x:c r="E113" s="16" t="str">
        <x:v>Déconnexion en cours</x:v>
      </x:c>
      <x:c r="F113" s="16" t="str">
        <x:v>1. Saisir une déconnexion sans heure de retour.</x:v>
      </x:c>
      <x:c r="G113" s="16" t="str">
        <x:v>La ligne est signalée comme en cours.</x:v>
      </x:c>
      <x:c r="H113" s="16" t="str">
        <x:v>Une déconnexion sans retour est signalée En cours.</x:v>
      </x:c>
      <x:c r="I113" s="11" t="str">
        <x:v>OK</x:v>
      </x:c>
      <x:c r="J113" s="19" t="str">
        <x:v>Majeure</x:v>
      </x:c>
      <x:c r="K113" s="17" t="str">
        <x:v>Rejoué le 27/07/2026 — HTTP authentifié + HTML rendu.</x:v>
      </x:c>
    </x:row>
    <x:row r="114" ht="42" customHeight="1">
      <x:c r="A114" s="8" t="str">
        <x:v>Dispatch TT</x:v>
      </x:c>
      <x:c r="B114" s="9" t="str">
        <x:v>TT-09</x:v>
      </x:c>
      <x:c r="C114" s="8" t="str">
        <x:v>Déconnexions</x:v>
      </x:c>
      <x:c r="D114" s="8" t="str">
        <x:v>Dispatch TT</x:v>
      </x:c>
      <x:c r="E114" s="10" t="str">
        <x:v>Clôture d'une déconnexion</x:v>
      </x:c>
      <x:c r="F114" s="10" t="str">
        <x:v>1. Compléter l'heure de retour d'une déconnexion en cours.</x:v>
      </x:c>
      <x:c r="G114" s="10" t="str">
        <x:v>La durée est calculée et la mention en cours disparaît.</x:v>
      </x:c>
      <x:c r="H114" s="10" t="str">
        <x:v>Après clôture, le retour et la durée sont conservés et En cours disparaît.</x:v>
      </x:c>
      <x:c r="I114" s="11" t="str">
        <x:v>OK</x:v>
      </x:c>
      <x:c r="J114" s="19" t="str">
        <x:v>Majeure</x:v>
      </x:c>
      <x:c r="K114" s="13" t="str">
        <x:v>Rejoué le 27/07/2026 — HTTP authentifié + persistance.</x:v>
      </x:c>
    </x:row>
    <x:row r="115" ht="42" customHeight="1">
      <x:c r="A115" s="14" t="str">
        <x:v>Dispatch RTG</x:v>
      </x:c>
      <x:c r="B115" s="15" t="str">
        <x:v>RTG-01</x:v>
      </x:c>
      <x:c r="C115" s="14" t="str">
        <x:v>Effectif</x:v>
      </x:c>
      <x:c r="D115" s="14" t="str">
        <x:v>Dispatch RTG</x:v>
      </x:c>
      <x:c r="E115" s="16" t="str">
        <x:v>Affichage de l'effectif</x:v>
      </x:c>
      <x:c r="F115" s="16" t="str">
        <x:v>1. Saisir l'effectif total. 2. Observer le tableau récapitulatif.</x:v>
      </x:c>
      <x:c r="G115" s="16" t="str">
        <x:v>Le total, les engins retirés et les engins actifs sont affichés.</x:v>
      </x:c>
      <x:c r="H115" s="16" t="str">
        <x:v>Le total 10 et les compteurs d'effectif sont persistés et affichés.</x:v>
      </x:c>
      <x:c r="I115" s="11" t="str">
        <x:v>OK</x:v>
      </x:c>
      <x:c r="J115" s="12" t="str">
        <x:v>Bloquante</x:v>
      </x:c>
      <x:c r="K115" s="17" t="str">
        <x:v>Rejoué le 27/07/2026 — HTTP authentifié + HTML rendu.</x:v>
      </x:c>
    </x:row>
    <x:row r="116" ht="42" customHeight="1">
      <x:c r="A116" s="8" t="str">
        <x:v>Dispatch RTG</x:v>
      </x:c>
      <x:c r="B116" s="9" t="str">
        <x:v>RTG-02</x:v>
      </x:c>
      <x:c r="C116" s="8" t="str">
        <x:v>Pannes</x:v>
      </x:c>
      <x:c r="D116" s="8" t="str">
        <x:v>Dispatch RTG</x:v>
      </x:c>
      <x:c r="E116" s="10" t="str">
        <x:v>Saisie d'une panne</x:v>
      </x:c>
      <x:c r="F116" s="10" t="str">
        <x:v>1. Saisir l'engin, l'heure de début et la cause. 2. Ajouter.</x:v>
      </x:c>
      <x:c r="G116" s="10" t="str">
        <x:v>La ligne apparaît dans le tableau des pannes.</x:v>
      </x:c>
      <x:c r="H116" s="10" t="str">
        <x:v>La panne RTG et sa cause apparaissent après rechargement.</x:v>
      </x:c>
      <x:c r="I116" s="11" t="str">
        <x:v>OK</x:v>
      </x:c>
      <x:c r="J116" s="12" t="str">
        <x:v>Bloquante</x:v>
      </x:c>
      <x:c r="K116" s="13" t="str">
        <x:v>Rejoué le 27/07/2026 — HTTP authentifié + persistance.</x:v>
      </x:c>
    </x:row>
    <x:row r="117" ht="42" customHeight="1">
      <x:c r="A117" s="14" t="str">
        <x:v>Dispatch RTG</x:v>
      </x:c>
      <x:c r="B117" s="15" t="str">
        <x:v>RTG-03</x:v>
      </x:c>
      <x:c r="C117" s="14" t="str">
        <x:v>Calcul</x:v>
      </x:c>
      <x:c r="D117" s="14" t="str">
        <x:v>Dispatch RTG</x:v>
      </x:c>
      <x:c r="E117" s="16" t="str">
        <x:v>Retrait d'effectif par une panne</x:v>
      </x:c>
      <x:c r="F117" s="16" t="str">
        <x:v>1. Avec un effectif de 10, déclarer une panne avec l'option de retrait. 2. Observer les actifs.</x:v>
      </x:c>
      <x:c r="G117" s="16" t="str">
        <x:v>Le nombre d'engins actifs passe à 9.</x:v>
      </x:c>
      <x:c r="H117" s="16" t="str">
        <x:v>Une panne avec retrait fait passer Disponible de 10 à 9 et Retiré de 0 à 1.</x:v>
      </x:c>
      <x:c r="I117" s="11" t="str">
        <x:v>OK</x:v>
      </x:c>
      <x:c r="J117" s="12" t="str">
        <x:v>Bloquante</x:v>
      </x:c>
      <x:c r="K117" s="17" t="str">
        <x:v>Corrigé et rejoué le 27/07/2026 — compteur dérivé des pannes actives.</x:v>
      </x:c>
    </x:row>
    <x:row r="118" ht="42" customHeight="1">
      <x:c r="A118" s="8" t="str">
        <x:v>Dispatch RTG</x:v>
      </x:c>
      <x:c r="B118" s="9" t="str">
        <x:v>RTG-04</x:v>
      </x:c>
      <x:c r="C118" s="8" t="str">
        <x:v>Calcul</x:v>
      </x:c>
      <x:c r="D118" s="8" t="str">
        <x:v>Dispatch RTG</x:v>
      </x:c>
      <x:c r="E118" s="10" t="str">
        <x:v>Retour d'effectif à la clôture</x:v>
      </x:c>
      <x:c r="F118" s="10" t="str">
        <x:v>1. Renseigner l'heure de fin de la panne. 2. Observer les actifs.</x:v>
      </x:c>
      <x:c r="G118" s="10" t="str">
        <x:v>Le nombre d'engins actifs est rétabli.</x:v>
      </x:c>
      <x:c r="H118" s="10" t="str">
        <x:v>La clôture restaure Disponible à 10 et Retiré à 0.</x:v>
      </x:c>
      <x:c r="I118" s="11" t="str">
        <x:v>OK</x:v>
      </x:c>
      <x:c r="J118" s="19" t="str">
        <x:v>Majeure</x:v>
      </x:c>
      <x:c r="K118" s="13" t="str">
        <x:v>Rejoué le 27/07/2026 — HTTP authentifié + HTML rendu.</x:v>
      </x:c>
    </x:row>
    <x:row r="119" ht="42" customHeight="1">
      <x:c r="A119" s="14" t="str">
        <x:v>Dispatch RTG</x:v>
      </x:c>
      <x:c r="B119" s="15" t="str">
        <x:v>RTG-05</x:v>
      </x:c>
      <x:c r="C119" s="14" t="str">
        <x:v>Pannes</x:v>
      </x:c>
      <x:c r="D119" s="14" t="str">
        <x:v>Dispatch RTG</x:v>
      </x:c>
      <x:c r="E119" s="16" t="str">
        <x:v>Calcul de la durée d'immobilisation</x:v>
      </x:c>
      <x:c r="F119" s="16" t="str">
        <x:v>1. Saisir un début et une fin espacés de deux heures. 2. Observer la durée.</x:v>
      </x:c>
      <x:c r="G119" s="16" t="str">
        <x:v>La durée affiche 2 h 00.</x:v>
      </x:c>
      <x:c r="H119" s="16" t="str">
        <x:v>La durée persistée entre début et fin est exactement 120 minutes.</x:v>
      </x:c>
      <x:c r="I119" s="11" t="str">
        <x:v>OK</x:v>
      </x:c>
      <x:c r="J119" s="19" t="str">
        <x:v>Majeure</x:v>
      </x:c>
      <x:c r="K119" s="17" t="str">
        <x:v>Rejoué le 27/07/2026 — preuve SQL DATEDIFF=120.</x:v>
      </x:c>
    </x:row>
    <x:row r="120" ht="42" customHeight="1">
      <x:c r="A120" s="8" t="str">
        <x:v>Dispatch RTG</x:v>
      </x:c>
      <x:c r="B120" s="9" t="str">
        <x:v>RTG-06</x:v>
      </x:c>
      <x:c r="C120" s="8" t="str">
        <x:v>Clashs</x:v>
      </x:c>
      <x:c r="D120" s="8" t="str">
        <x:v>Dispatch RTG</x:v>
      </x:c>
      <x:c r="E120" s="10" t="str">
        <x:v>Saisie d'un clash</x:v>
      </x:c>
      <x:c r="F120" s="10" t="str">
        <x:v>1. Saisir le lieu, les bornes horaires et une description. 2. Ajouter.</x:v>
      </x:c>
      <x:c r="G120" s="10" t="str">
        <x:v>La ligne apparaît avec sa durée.</x:v>
      </x:c>
      <x:c r="H120" s="10" t="str">
        <x:v>Le clash est persisté avec lieu, engins et description.</x:v>
      </x:c>
      <x:c r="I120" s="11" t="str">
        <x:v>OK</x:v>
      </x:c>
      <x:c r="J120" s="19" t="str">
        <x:v>Majeure</x:v>
      </x:c>
      <x:c r="K120" s="13" t="str">
        <x:v>Rejoué le 27/07/2026 — HTTP authentifié + HTML rendu.</x:v>
      </x:c>
    </x:row>
    <x:row r="121" ht="42" customHeight="1">
      <x:c r="A121" s="14" t="str">
        <x:v>Dispatch RTG</x:v>
      </x:c>
      <x:c r="B121" s="15" t="str">
        <x:v>RTG-07</x:v>
      </x:c>
      <x:c r="C121" s="14" t="str">
        <x:v>GATE</x:v>
      </x:c>
      <x:c r="D121" s="14" t="str">
        <x:v>Dispatch RTG</x:v>
      </x:c>
      <x:c r="E121" s="16" t="str">
        <x:v>Saisie d'une livraison</x:v>
      </x:c>
      <x:c r="F121" s="16" t="str">
        <x:v>1. Saisir une opération de type livraison avec camion et horaires. 2. Ajouter.</x:v>
      </x:c>
      <x:c r="G121" s="16" t="str">
        <x:v>La ligne apparaît dans le tableau GATE.</x:v>
      </x:c>
      <x:c r="H121" s="16" t="str">
        <x:v>La livraison GATE est persistée et visible dans le tableau.</x:v>
      </x:c>
      <x:c r="I121" s="11" t="str">
        <x:v>OK</x:v>
      </x:c>
      <x:c r="J121" s="19" t="str">
        <x:v>Majeure</x:v>
      </x:c>
      <x:c r="K121" s="17" t="str">
        <x:v>Rejoué le 27/07/2026 — HTTP authentifié + HTML rendu.</x:v>
      </x:c>
    </x:row>
    <x:row r="122" ht="42" customHeight="1">
      <x:c r="A122" s="8" t="str">
        <x:v>Dispatch RTG</x:v>
      </x:c>
      <x:c r="B122" s="9" t="str">
        <x:v>RTG-08</x:v>
      </x:c>
      <x:c r="C122" s="8" t="str">
        <x:v>GATE</x:v>
      </x:c>
      <x:c r="D122" s="8" t="str">
        <x:v>Dispatch RTG</x:v>
      </x:c>
      <x:c r="E122" s="10" t="str">
        <x:v>Distinction livraison et réception</x:v>
      </x:c>
      <x:c r="F122" s="10" t="str">
        <x:v>1. Ouvrir la liste du type d'opération GATE.</x:v>
      </x:c>
      <x:c r="G122" s="10" t="str">
        <x:v>Les deux types sont proposés et distingués dans le tableau.</x:v>
      </x:c>
      <x:c r="H122" s="10" t="str">
        <x:v>Livraison et Réception sont proposées et distinguées.</x:v>
      </x:c>
      <x:c r="I122" s="11" t="str">
        <x:v>OK</x:v>
      </x:c>
      <x:c r="J122" s="18" t="str">
        <x:v>Moyenne</x:v>
      </x:c>
      <x:c r="K122" s="13" t="str">
        <x:v>Rejoué le 27/07/2026 — contrôle des options HTML.</x:v>
      </x:c>
    </x:row>
    <x:row r="123" ht="42" customHeight="1">
      <x:c r="A123" s="14" t="str">
        <x:v>Dispatch RTG</x:v>
      </x:c>
      <x:c r="B123" s="15" t="str">
        <x:v>RTG-09</x:v>
      </x:c>
      <x:c r="C123" s="14" t="str">
        <x:v>Interface</x:v>
      </x:c>
      <x:c r="D123" s="14" t="str">
        <x:v>Dispatch RTG</x:v>
      </x:c>
      <x:c r="E123" s="16" t="str">
        <x:v>Reprise des incidents STS</x:v>
      </x:c>
      <x:c r="F123" s="16" t="str">
        <x:v>1. Saisir un incident en STS sur le shift. 2. Ouvrir l'écran RTG. 3. Actualiser.</x:v>
      </x:c>
      <x:c r="G123" s="16" t="str">
        <x:v>L'incident STS apparaît dans le bloc de reprise, en lecture seule.</x:v>
      </x:c>
      <x:c r="H123" s="16" t="str">
        <x:v>Non exécuté à ce stade. Les prérequis sont désormais disponibles ; scénario à rejouer avant qualification.</x:v>
      </x:c>
      <x:c r="I123" s="11" t="str">
        <x:v>Non testé</x:v>
      </x:c>
      <x:c r="J123" s="19" t="str">
        <x:v>Majeure</x:v>
      </x:c>
      <x:c r="K123" s="17" t="str">
        <x:v>Requalifié méthodologiquement le 24/07/2026 : aucun blocage actif ni écart fonctionnel démontré.</x:v>
      </x:c>
    </x:row>
    <x:row r="124" ht="42" customHeight="1">
      <x:c r="A124" s="8" t="str">
        <x:v>Autres engins</x:v>
      </x:c>
      <x:c r="B124" s="9" t="str">
        <x:v>AE-01</x:v>
      </x:c>
      <x:c r="C124" s="8" t="str">
        <x:v>Effectif</x:v>
      </x:c>
      <x:c r="D124" s="8" t="str">
        <x:v>Autres engins</x:v>
      </x:c>
      <x:c r="E124" s="10" t="str">
        <x:v>Saisie par famille</x:v>
      </x:c>
      <x:c r="F124" s="10" t="str">
        <x:v>1. Saisir les effectifs de reach stackers, élévateurs et autres engins.</x:v>
      </x:c>
      <x:c r="G124" s="10" t="str">
        <x:v>Les trois compteurs sont enregistrés séparément.</x:v>
      </x:c>
      <x:c r="H124" s="10" t="str">
        <x:v>Reach Stackers, Empty Handlers et autres sont persistés séparément.</x:v>
      </x:c>
      <x:c r="I124" s="11" t="str">
        <x:v>OK</x:v>
      </x:c>
      <x:c r="J124" s="12" t="str">
        <x:v>Bloquante</x:v>
      </x:c>
      <x:c r="K124" s="13" t="str">
        <x:v>Rejoué le 27/07/2026 — valeurs 7, 5 et 3 restituées.</x:v>
      </x:c>
    </x:row>
    <x:row r="125" ht="42" customHeight="1">
      <x:c r="A125" s="14" t="str">
        <x:v>Autres engins</x:v>
      </x:c>
      <x:c r="B125" s="15" t="str">
        <x:v>AE-02</x:v>
      </x:c>
      <x:c r="C125" s="14" t="str">
        <x:v>Pannes</x:v>
      </x:c>
      <x:c r="D125" s="14" t="str">
        <x:v>Autres engins</x:v>
      </x:c>
      <x:c r="E125" s="16" t="str">
        <x:v>Saisie d'une panne</x:v>
      </x:c>
      <x:c r="F125" s="16" t="str">
        <x:v>1. Saisir l'engin, les bornes horaires et la cause. 2. Ajouter.</x:v>
      </x:c>
      <x:c r="G125" s="16" t="str">
        <x:v>La ligne apparaît avec sa durée.</x:v>
      </x:c>
      <x:c r="H125" s="16" t="str">
        <x:v>La panne d'engin est persistée avec sa cause et son retrait.</x:v>
      </x:c>
      <x:c r="I125" s="11" t="str">
        <x:v>OK</x:v>
      </x:c>
      <x:c r="J125" s="19" t="str">
        <x:v>Majeure</x:v>
      </x:c>
      <x:c r="K125" s="17" t="str">
        <x:v>Rejoué le 27/07/2026 — HTTP + preuve SQL.</x:v>
      </x:c>
    </x:row>
    <x:row r="126" ht="42" customHeight="1">
      <x:c r="A126" s="8" t="str">
        <x:v>Autres engins</x:v>
      </x:c>
      <x:c r="B126" s="9" t="str">
        <x:v>AE-03</x:v>
      </x:c>
      <x:c r="C126" s="8" t="str">
        <x:v>Calcul</x:v>
      </x:c>
      <x:c r="D126" s="8" t="str">
        <x:v>Autres engins</x:v>
      </x:c>
      <x:c r="E126" s="10" t="str">
        <x:v>Retrait d'effectif</x:v>
      </x:c>
      <x:c r="F126" s="10" t="str">
        <x:v>1. Déclarer une panne avec retrait d'effectif. 2. Observer le compteur.</x:v>
      </x:c>
      <x:c r="G126" s="10" t="str">
        <x:v>Le nombre d'engins retirés est incrémenté et affiché séparément.</x:v>
      </x:c>
      <x:c r="H126" s="10" t="str">
        <x:v>Le retrait Reach Stacker est calculé et affiché séparément.</x:v>
      </x:c>
      <x:c r="I126" s="11" t="str">
        <x:v>OK</x:v>
      </x:c>
      <x:c r="J126" s="19" t="str">
        <x:v>Majeure</x:v>
      </x:c>
      <x:c r="K126" s="13" t="str">
        <x:v>Rejoué le 27/07/2026 — compteur retiré=1.</x:v>
      </x:c>
    </x:row>
    <x:row r="127" ht="42" customHeight="1">
      <x:c r="A127" s="14" t="str">
        <x:v>Autres engins</x:v>
      </x:c>
      <x:c r="B127" s="15" t="str">
        <x:v>AE-04</x:v>
      </x:c>
      <x:c r="C127" s="14" t="str">
        <x:v>Déconnexions</x:v>
      </x:c>
      <x:c r="D127" s="14" t="str">
        <x:v>Autres engins</x:v>
      </x:c>
      <x:c r="E127" s="16" t="str">
        <x:v>Saisie d'une déconnexion d'opérateur</x:v>
      </x:c>
      <x:c r="F127" s="16" t="str">
        <x:v>1. Saisir les bornes horaires et le motif. 2. Ajouter.</x:v>
      </x:c>
      <x:c r="G127" s="16" t="str">
        <x:v>La ligne apparaît avec sa durée.</x:v>
      </x:c>
      <x:c r="H127" s="16" t="str">
        <x:v>La déconnexion opérateur et son motif sont persistés.</x:v>
      </x:c>
      <x:c r="I127" s="11" t="str">
        <x:v>OK</x:v>
      </x:c>
      <x:c r="J127" s="19" t="str">
        <x:v>Majeure</x:v>
      </x:c>
      <x:c r="K127" s="17" t="str">
        <x:v>Rejoué le 27/07/2026 — HTTP authentifié + HTML rendu.</x:v>
      </x:c>
    </x:row>
    <x:row r="128" ht="42" customHeight="1">
      <x:c r="A128" s="8" t="str">
        <x:v>Autres engins</x:v>
      </x:c>
      <x:c r="B128" s="9" t="str">
        <x:v>AE-05</x:v>
      </x:c>
      <x:c r="C128" s="8" t="str">
        <x:v>Remplacements</x:v>
      </x:c>
      <x:c r="D128" s="8" t="str">
        <x:v>Autres engins</x:v>
      </x:c>
      <x:c r="E128" s="10" t="str">
        <x:v>Saisie d'un remplacement</x:v>
      </x:c>
      <x:c r="F128" s="10" t="str">
        <x:v>1. Saisir l'opérateur sortant, l'entrant, l'heure et le motif. 2. Ajouter.</x:v>
      </x:c>
      <x:c r="G128" s="10" t="str">
        <x:v>La ligne apparaît dans le tableau des remplacements.</x:v>
      </x:c>
      <x:c r="H128" s="10" t="str">
        <x:v>Non exécuté à ce stade. Les prérequis sont désormais disponibles ; scénario à rejouer avant qualification.</x:v>
      </x:c>
      <x:c r="I128" s="11" t="str">
        <x:v>Non testé</x:v>
      </x:c>
      <x:c r="J128" s="19" t="str">
        <x:v>Majeure</x:v>
      </x:c>
      <x:c r="K128" s="13" t="str">
        <x:v>Requalifié méthodologiquement le 24/07/2026 : aucun blocage actif ni écart fonctionnel démontré.</x:v>
      </x:c>
    </x:row>
    <x:row r="129" ht="42" customHeight="1">
      <x:c r="A129" s="14" t="str">
        <x:v>Autres engins</x:v>
      </x:c>
      <x:c r="B129" s="15" t="str">
        <x:v>AE-06</x:v>
      </x:c>
      <x:c r="C129" s="14" t="str">
        <x:v>Cohérence</x:v>
      </x:c>
      <x:c r="D129" s="14" t="str">
        <x:v>Autres engins</x:v>
      </x:c>
      <x:c r="E129" s="16" t="str">
        <x:v>Distinction engin immobilisé et opérateur absent</x:v>
      </x:c>
      <x:c r="F129" s="16" t="str">
        <x:v>1. Déclarer une panne avec retrait puis une déconnexion d'opérateur. 2. Comparer les compteurs.</x:v>
      </x:c>
      <x:c r="G129" s="16" t="str">
        <x:v>Les deux causes sont comptabilisées séparément.</x:v>
      </x:c>
      <x:c r="H129" s="16" t="str">
        <x:v>Panne d'engin et déconnexion opérateur restent deux registres et compteurs distincts.</x:v>
      </x:c>
      <x:c r="I129" s="11" t="str">
        <x:v>OK</x:v>
      </x:c>
      <x:c r="J129" s="19" t="str">
        <x:v>Majeure</x:v>
      </x:c>
      <x:c r="K129" s="17" t="str">
        <x:v>Rejoué le 27/07/2026 — contrôles croisés après rechargement.</x:v>
      </x:c>
    </x:row>
    <x:row r="130" ht="42" customHeight="1">
      <x:c r="A130" s="8" t="str">
        <x:v>Autres engins</x:v>
      </x:c>
      <x:c r="B130" s="9" t="str">
        <x:v>AE-07</x:v>
      </x:c>
      <x:c r="C130" s="8" t="str">
        <x:v>Persistance</x:v>
      </x:c>
      <x:c r="D130" s="8" t="str">
        <x:v>Autres engins</x:v>
      </x:c>
      <x:c r="E130" s="10" t="str">
        <x:v>Conservation de la saisie</x:v>
      </x:c>
      <x:c r="F130" s="10" t="str">
        <x:v>1. Saisir plusieurs lignes. 2. Quitter l'écran. 3. Y revenir.</x:v>
      </x:c>
      <x:c r="G130" s="10" t="str">
        <x:v>Toutes les lignes sont restituées.</x:v>
      </x:c>
      <x:c r="H130" s="10" t="str">
        <x:v>Les lignes panne, déconnexion et remplacement sont restituées après une nouvelle navigation.</x:v>
      </x:c>
      <x:c r="I130" s="11" t="str">
        <x:v>OK</x:v>
      </x:c>
      <x:c r="J130" s="12" t="str">
        <x:v>Bloquante</x:v>
      </x:c>
      <x:c r="K130" s="13" t="str">
        <x:v>Rejoué le 27/07/2026 — persistance après rechargement.</x:v>
      </x:c>
    </x:row>
    <x:row r="131" ht="42" customHeight="1">
      <x:c r="A131" s="14" t="str">
        <x:v>Cargo</x:v>
      </x:c>
      <x:c r="B131" s="15" t="str">
        <x:v>CG-01</x:v>
      </x:c>
      <x:c r="C131" s="14" t="str">
        <x:v>Tableau de bord</x:v>
      </x:c>
      <x:c r="D131" s="14" t="str">
        <x:v>Cargo Controller</x:v>
      </x:c>
      <x:c r="E131" s="16" t="str">
        <x:v>Répartition en trois volets</x:v>
      </x:c>
      <x:c r="F131" s="16" t="str">
        <x:v>1. Ouvrir l'écran cargo. 2. Observer les volets.</x:v>
      </x:c>
      <x:c r="G131" s="16" t="str">
        <x:v>Les volets en cours et à venir, terminés et alertes sont présents.</x:v>
      </x:c>
      <x:c r="H131" s="16" t="str">
        <x:v>Non exécuté à ce stade. Les prérequis sont désormais disponibles ; scénario à rejouer avant qualification.</x:v>
      </x:c>
      <x:c r="I131" s="11" t="str">
        <x:v>Non testé</x:v>
      </x:c>
      <x:c r="J131" s="12" t="str">
        <x:v>Bloquante</x:v>
      </x:c>
      <x:c r="K131" s="17" t="str">
        <x:v>Requalifié méthodologiquement le 24/07/2026 : aucun blocage actif ni écart fonctionnel démontré.</x:v>
      </x:c>
    </x:row>
    <x:row r="132" ht="42" customHeight="1">
      <x:c r="A132" s="8" t="str">
        <x:v>Cargo</x:v>
      </x:c>
      <x:c r="B132" s="9" t="str">
        <x:v>CG-02</x:v>
      </x:c>
      <x:c r="C132" s="8" t="str">
        <x:v>Alertes</x:v>
      </x:c>
      <x:c r="D132" s="8" t="str">
        <x:v>Cargo Controller</x:v>
      </x:c>
      <x:c r="E132" s="10" t="str">
        <x:v>Compteur d'alertes</x:v>
      </x:c>
      <x:c r="F132" s="10" t="str">
        <x:v>1. Observer le compteur affiché sur le volet des alertes.</x:v>
      </x:c>
      <x:c r="G132" s="10" t="str">
        <x:v>Le compteur correspond au nombre d'alertes listées.</x:v>
      </x:c>
      <x:c r="H132" s="10" t="str">
        <x:v>Non exécuté à ce stade. Les prérequis sont désormais disponibles ; scénario à rejouer avant qualification.</x:v>
      </x:c>
      <x:c r="I132" s="11" t="str">
        <x:v>Non testé</x:v>
      </x:c>
      <x:c r="J132" s="19" t="str">
        <x:v>Majeure</x:v>
      </x:c>
      <x:c r="K132" s="13" t="str">
        <x:v>Requalifié méthodologiquement le 24/07/2026 : aucun blocage actif ni écart fonctionnel démontré.</x:v>
      </x:c>
    </x:row>
    <x:row r="133" ht="42" customHeight="1">
      <x:c r="A133" s="14" t="str">
        <x:v>Cargo</x:v>
      </x:c>
      <x:c r="B133" s="15" t="str">
        <x:v>CG-03</x:v>
      </x:c>
      <x:c r="C133" s="14" t="str">
        <x:v>Alertes</x:v>
      </x:c>
      <x:c r="D133" s="14" t="str">
        <x:v>Cargo Controller</x:v>
      </x:c>
      <x:c r="E133" s="16" t="str">
        <x:v>Alerte de consolidation disch</x:v>
      </x:c>
      <x:c r="F133" s="16" t="str">
        <x:v>1. Sur un navire dont l'ETA est à deux jours, laisser la conso disch non faite. 2. Ouvrir les alertes.</x:v>
      </x:c>
      <x:c r="G133" s="16" t="str">
        <x:v>Une alerte de niveau avertissement est levée.</x:v>
      </x:c>
      <x:c r="H133" s="16" t="str">
        <x:v>Non exécuté à ce stade. Les prérequis sont désormais disponibles ; scénario à rejouer avant qualification.</x:v>
      </x:c>
      <x:c r="I133" s="11" t="str">
        <x:v>Non testé</x:v>
      </x:c>
      <x:c r="J133" s="12" t="str">
        <x:v>Bloquante</x:v>
      </x:c>
      <x:c r="K133" s="17" t="str">
        <x:v>Requalifié méthodologiquement le 24/07/2026 : aucun blocage actif ni écart fonctionnel démontré.</x:v>
      </x:c>
    </x:row>
    <x:row r="134" ht="42" customHeight="1">
      <x:c r="A134" s="8" t="str">
        <x:v>Cargo</x:v>
      </x:c>
      <x:c r="B134" s="9" t="str">
        <x:v>CG-04</x:v>
      </x:c>
      <x:c r="C134" s="8" t="str">
        <x:v>Alertes</x:v>
      </x:c>
      <x:c r="D134" s="8" t="str">
        <x:v>Cargo Controller</x:v>
      </x:c>
      <x:c r="E134" s="10" t="str">
        <x:v>Alerte de consolidation load</x:v>
      </x:c>
      <x:c r="F134" s="10" t="str">
        <x:v>1. Même situation pour la consolidation au chargement.</x:v>
      </x:c>
      <x:c r="G134" s="10" t="str">
        <x:v>Une alerte de niveau avertissement est levée.</x:v>
      </x:c>
      <x:c r="H134" s="10" t="str">
        <x:v>Non exécuté à ce stade. Les prérequis sont désormais disponibles ; scénario à rejouer avant qualification.</x:v>
      </x:c>
      <x:c r="I134" s="11" t="str">
        <x:v>Non testé</x:v>
      </x:c>
      <x:c r="J134" s="19" t="str">
        <x:v>Majeure</x:v>
      </x:c>
      <x:c r="K134" s="13" t="str">
        <x:v>Requalifié méthodologiquement le 24/07/2026 : aucun blocage actif ni écart fonctionnel démontré.</x:v>
      </x:c>
    </x:row>
    <x:row r="135" ht="42" customHeight="1">
      <x:c r="A135" s="14" t="str">
        <x:v>Cargo</x:v>
      </x:c>
      <x:c r="B135" s="15" t="str">
        <x:v>CG-05</x:v>
      </x:c>
      <x:c r="C135" s="14" t="str">
        <x:v>Alertes</x:v>
      </x:c>
      <x:c r="D135" s="14" t="str">
        <x:v>Cargo Controller</x:v>
      </x:c>
      <x:c r="E135" s="16" t="str">
        <x:v>Alerte de revised reçu</x:v>
      </x:c>
      <x:c r="F135" s="16" t="str">
        <x:v>1. Cocher la réception d'un revised sans traiter le chargement. 2. Ouvrir les alertes.</x:v>
      </x:c>
      <x:c r="G135" s="16" t="str">
        <x:v>Une alerte de priorité élevée est levée.</x:v>
      </x:c>
      <x:c r="H135" s="16" t="str">
        <x:v>Non exécuté à ce stade. Les prérequis sont désormais disponibles ; scénario à rejouer avant qualification.</x:v>
      </x:c>
      <x:c r="I135" s="11" t="str">
        <x:v>Non testé</x:v>
      </x:c>
      <x:c r="J135" s="12" t="str">
        <x:v>Bloquante</x:v>
      </x:c>
      <x:c r="K135" s="17" t="str">
        <x:v>Requalifié méthodologiquement le 24/07/2026 : aucun blocage actif ni écart fonctionnel démontré.</x:v>
      </x:c>
    </x:row>
    <x:row r="136" ht="42" customHeight="1">
      <x:c r="A136" s="8" t="str">
        <x:v>Cargo</x:v>
      </x:c>
      <x:c r="B136" s="9" t="str">
        <x:v>CG-06</x:v>
      </x:c>
      <x:c r="C136" s="8" t="str">
        <x:v>Alertes</x:v>
      </x:c>
      <x:c r="D136" s="8" t="str">
        <x:v>Cargo Controller</x:v>
      </x:c>
      <x:c r="E136" s="10" t="str">
        <x:v>Alerte de rapport final non envoyé</x:v>
      </x:c>
      <x:c r="F136" s="10" t="str">
        <x:v>1. Sur un navire terminé depuis plus de trois heures, ne pas confirmer l'envoi. 2. Ouvrir les alertes.</x:v>
      </x:c>
      <x:c r="G136" s="10" t="str">
        <x:v>Une alerte de priorité élevée est levée.</x:v>
      </x:c>
      <x:c r="H136" s="10" t="str">
        <x:v>Non exécuté à ce stade. Les prérequis sont désormais disponibles ; scénario à rejouer avant qualification.</x:v>
      </x:c>
      <x:c r="I136" s="11" t="str">
        <x:v>Non testé</x:v>
      </x:c>
      <x:c r="J136" s="19" t="str">
        <x:v>Majeure</x:v>
      </x:c>
      <x:c r="K136" s="13" t="str">
        <x:v>Requalifié méthodologiquement le 24/07/2026 : aucun blocage actif ni écart fonctionnel démontré.</x:v>
      </x:c>
    </x:row>
    <x:row r="137" ht="42" customHeight="1">
      <x:c r="A137" s="14" t="str">
        <x:v>Cargo</x:v>
      </x:c>
      <x:c r="B137" s="15" t="str">
        <x:v>CG-07</x:v>
      </x:c>
      <x:c r="C137" s="14" t="str">
        <x:v>Alertes</x:v>
      </x:c>
      <x:c r="D137" s="14" t="str">
        <x:v>Cargo Controller</x:v>
      </x:c>
      <x:c r="E137" s="16" t="str">
        <x:v>Levée automatique d'une alerte</x:v>
      </x:c>
      <x:c r="F137" s="16" t="str">
        <x:v>1. Réaliser la consolidation disch. 2. Revenir aux alertes.</x:v>
      </x:c>
      <x:c r="G137" s="16" t="str">
        <x:v>L'alerte correspondante a disparu sans action manuelle.</x:v>
      </x:c>
      <x:c r="H137" s="16" t="str">
        <x:v>Non exécuté à ce stade. Les prérequis sont désormais disponibles ; scénario à rejouer avant qualification.</x:v>
      </x:c>
      <x:c r="I137" s="11" t="str">
        <x:v>Non testé</x:v>
      </x:c>
      <x:c r="J137" s="12" t="str">
        <x:v>Bloquante</x:v>
      </x:c>
      <x:c r="K137" s="17" t="str">
        <x:v>Requalifié méthodologiquement le 24/07/2026 : aucun blocage actif ni écart fonctionnel démontré.</x:v>
      </x:c>
    </x:row>
    <x:row r="138" ht="42" customHeight="1">
      <x:c r="A138" s="8" t="str">
        <x:v>Cargo</x:v>
      </x:c>
      <x:c r="B138" s="9" t="str">
        <x:v>CG-08</x:v>
      </x:c>
      <x:c r="C138" s="8" t="str">
        <x:v>Escale</x:v>
      </x:c>
      <x:c r="D138" s="8" t="str">
        <x:v>Cargo Controller</x:v>
      </x:c>
      <x:c r="E138" s="10" t="str">
        <x:v>Partage de l'entête avec le Vessel Planner</x:v>
      </x:c>
      <x:c r="F138" s="10" t="str">
        <x:v>1. Modifier le voyage depuis le Vessel Planner. 2. Ouvrir la fiche cargo du même navire.</x:v>
      </x:c>
      <x:c r="G138" s="10" t="str">
        <x:v>La modification est visible : il s'agit de la même escale.</x:v>
      </x:c>
      <x:c r="H138" s="10" t="str">
        <x:v>Non exécuté à ce stade. Les prérequis sont désormais disponibles ; scénario à rejouer avant qualification.</x:v>
      </x:c>
      <x:c r="I138" s="11" t="str">
        <x:v>Non testé</x:v>
      </x:c>
      <x:c r="J138" s="19" t="str">
        <x:v>Majeure</x:v>
      </x:c>
      <x:c r="K138" s="13" t="str">
        <x:v>Requalifié méthodologiquement le 24/07/2026 : aucun blocage actif ni écart fonctionnel démontré.</x:v>
      </x:c>
    </x:row>
    <x:row r="139" ht="42" customHeight="1">
      <x:c r="A139" s="14" t="str">
        <x:v>Cargo</x:v>
      </x:c>
      <x:c r="B139" s="15" t="str">
        <x:v>CG-09</x:v>
      </x:c>
      <x:c r="C139" s="14" t="str">
        <x:v>Conso disch</x:v>
      </x:c>
      <x:c r="D139" s="14" t="str">
        <x:v>Cargo Controller</x:v>
      </x:c>
      <x:c r="E139" s="16" t="str">
        <x:v>Saisie du tableau de consolidation</x:v>
      </x:c>
      <x:c r="F139" s="16" t="str">
        <x:v>1. Saisir les chiffres EDI et système pour import, restow et transbordement.</x:v>
      </x:c>
      <x:c r="G139" s="16" t="str">
        <x:v>Les valeurs sont enregistrées par catégorie.</x:v>
      </x:c>
      <x:c r="H139" s="16" t="str">
        <x:v>Non exécuté à ce stade. Les prérequis sont désormais disponibles ; scénario à rejouer avant qualification.</x:v>
      </x:c>
      <x:c r="I139" s="11" t="str">
        <x:v>Non testé</x:v>
      </x:c>
      <x:c r="J139" s="12" t="str">
        <x:v>Bloquante</x:v>
      </x:c>
      <x:c r="K139" s="17" t="str">
        <x:v>Requalifié méthodologiquement le 24/07/2026 : aucun blocage actif ni écart fonctionnel démontré.</x:v>
      </x:c>
    </x:row>
    <x:row r="140" ht="42" customHeight="1">
      <x:c r="A140" s="8" t="str">
        <x:v>Cargo</x:v>
      </x:c>
      <x:c r="B140" s="9" t="str">
        <x:v>CG-10</x:v>
      </x:c>
      <x:c r="C140" s="8" t="str">
        <x:v>Calcul</x:v>
      </x:c>
      <x:c r="D140" s="8" t="str">
        <x:v>Cargo Controller</x:v>
      </x:c>
      <x:c r="E140" s="10" t="str">
        <x:v>Calcul des totaux</x:v>
      </x:c>
      <x:c r="F140" s="10" t="str">
        <x:v>1. Saisir plusieurs valeurs. 2. Observer les totaux de ligne et de colonne.</x:v>
      </x:c>
      <x:c r="G140" s="10" t="str">
        <x:v>Les totaux correspondent à la somme des valeurs saisies.</x:v>
      </x:c>
      <x:c r="H140" s="10" t="str">
        <x:v>Non exécuté à ce stade. Les prérequis sont désormais disponibles ; scénario à rejouer avant qualification.</x:v>
      </x:c>
      <x:c r="I140" s="11" t="str">
        <x:v>Non testé</x:v>
      </x:c>
      <x:c r="J140" s="12" t="str">
        <x:v>Bloquante</x:v>
      </x:c>
      <x:c r="K140" s="13" t="str">
        <x:v>Requalifié méthodologiquement le 24/07/2026 : aucun blocage actif ni écart fonctionnel démontré.</x:v>
      </x:c>
    </x:row>
    <x:row r="141" ht="42" customHeight="1">
      <x:c r="A141" s="14" t="str">
        <x:v>Cargo</x:v>
      </x:c>
      <x:c r="B141" s="15" t="str">
        <x:v>CG-11</x:v>
      </x:c>
      <x:c r="C141" s="14" t="str">
        <x:v>Calcul</x:v>
      </x:c>
      <x:c r="D141" s="14" t="str">
        <x:v>Cargo Controller</x:v>
      </x:c>
      <x:c r="E141" s="16" t="str">
        <x:v>Calcul des différences</x:v>
      </x:c>
      <x:c r="F141" s="16" t="str">
        <x:v>1. Saisir un chiffre EDI de 100 et un chiffre système de 98. 2. Observer la différence.</x:v>
      </x:c>
      <x:c r="G141" s="16" t="str">
        <x:v>La différence affiche 2.</x:v>
      </x:c>
      <x:c r="H141" s="16" t="str">
        <x:v>Non exécuté à ce stade. Les prérequis sont désormais disponibles ; scénario à rejouer avant qualification.</x:v>
      </x:c>
      <x:c r="I141" s="11" t="str">
        <x:v>Non testé</x:v>
      </x:c>
      <x:c r="J141" s="12" t="str">
        <x:v>Bloquante</x:v>
      </x:c>
      <x:c r="K141" s="17" t="str">
        <x:v>Requalifié méthodologiquement le 24/07/2026 : aucun blocage actif ni écart fonctionnel démontré.</x:v>
      </x:c>
    </x:row>
    <x:row r="142" ht="42" customHeight="1">
      <x:c r="A142" s="8" t="str">
        <x:v>Cargo</x:v>
      </x:c>
      <x:c r="B142" s="9" t="str">
        <x:v>CG-12</x:v>
      </x:c>
      <x:c r="C142" s="8" t="str">
        <x:v>Affichage</x:v>
      </x:c>
      <x:c r="D142" s="8" t="str">
        <x:v>Cargo Controller</x:v>
      </x:c>
      <x:c r="E142" s="10" t="str">
        <x:v>Masquage des différences nulles</x:v>
      </x:c>
      <x:c r="F142" s="10" t="str">
        <x:v>1. Saisir des valeurs identiques en EDI et système.</x:v>
      </x:c>
      <x:c r="G142" s="10" t="str">
        <x:v>Aucune mise en évidence n'apparaît sur la ligne concernée.</x:v>
      </x:c>
      <x:c r="H142" s="10" t="str">
        <x:v>Non exécuté à ce stade. Les prérequis sont désormais disponibles ; scénario à rejouer avant qualification.</x:v>
      </x:c>
      <x:c r="I142" s="11" t="str">
        <x:v>Non testé</x:v>
      </x:c>
      <x:c r="J142" s="18" t="str">
        <x:v>Moyenne</x:v>
      </x:c>
      <x:c r="K142" s="13" t="str">
        <x:v>Requalifié méthodologiquement le 24/07/2026 : aucun blocage actif ni écart fonctionnel démontré.</x:v>
      </x:c>
    </x:row>
    <x:row r="143" ht="42" customHeight="1">
      <x:c r="A143" s="14" t="str">
        <x:v>Cargo</x:v>
      </x:c>
      <x:c r="B143" s="15" t="str">
        <x:v>CG-13</x:v>
      </x:c>
      <x:c r="C143" s="14" t="str">
        <x:v>Baplie</x:v>
      </x:c>
      <x:c r="D143" s="14" t="str">
        <x:v>Cargo Controller</x:v>
      </x:c>
      <x:c r="E143" s="16" t="str">
        <x:v>Saisie des dates Baplie</x:v>
      </x:c>
      <x:c r="F143" s="16" t="str">
        <x:v>1. Saisir la date de réception puis la date d'intégration.</x:v>
      </x:c>
      <x:c r="G143" s="16" t="str">
        <x:v>Les deux dates sont enregistrées distinctement.</x:v>
      </x:c>
      <x:c r="H143" s="16" t="str">
        <x:v>Non exécuté à ce stade. Les prérequis sont désormais disponibles ; scénario à rejouer avant qualification.</x:v>
      </x:c>
      <x:c r="I143" s="11" t="str">
        <x:v>Non testé</x:v>
      </x:c>
      <x:c r="J143" s="19" t="str">
        <x:v>Majeure</x:v>
      </x:c>
      <x:c r="K143" s="17" t="str">
        <x:v>Requalifié méthodologiquement le 24/07/2026 : aucun blocage actif ni écart fonctionnel démontré.</x:v>
      </x:c>
    </x:row>
    <x:row r="144" ht="42" customHeight="1">
      <x:c r="A144" s="8" t="str">
        <x:v>Cargo</x:v>
      </x:c>
      <x:c r="B144" s="9" t="str">
        <x:v>CG-14</x:v>
      </x:c>
      <x:c r="C144" s="8" t="str">
        <x:v>Transbo</x:v>
      </x:c>
      <x:c r="D144" s="8" t="str">
        <x:v>Cargo Controller</x:v>
      </x:c>
      <x:c r="E144" s="10" t="str">
        <x:v>Ajout d'une ligne de transbordement</x:v>
      </x:c>
      <x:c r="F144" s="10" t="str">
        <x:v>1. Saisir une ligne maritime et sa date de réception. 2. Ajouter.</x:v>
      </x:c>
      <x:c r="G144" s="10" t="str">
        <x:v>La ligne apparaît dans le tableau.</x:v>
      </x:c>
      <x:c r="H144" s="10" t="str">
        <x:v>Non exécuté à ce stade. Les prérequis sont désormais disponibles ; scénario à rejouer avant qualification.</x:v>
      </x:c>
      <x:c r="I144" s="11" t="str">
        <x:v>Non testé</x:v>
      </x:c>
      <x:c r="J144" s="19" t="str">
        <x:v>Majeure</x:v>
      </x:c>
      <x:c r="K144" s="13" t="str">
        <x:v>Requalifié méthodologiquement le 24/07/2026 : aucun blocage actif ni écart fonctionnel démontré.</x:v>
      </x:c>
    </x:row>
    <x:row r="145" ht="42" customHeight="1">
      <x:c r="A145" s="14" t="str">
        <x:v>Cargo</x:v>
      </x:c>
      <x:c r="B145" s="15" t="str">
        <x:v>CG-15</x:v>
      </x:c>
      <x:c r="C145" s="14" t="str">
        <x:v>Conso load</x:v>
      </x:c>
      <x:c r="D145" s="14" t="str">
        <x:v>Cargo Controller</x:v>
      </x:c>
      <x:c r="E145" s="16" t="str">
        <x:v>Saisie de la consolidation au chargement</x:v>
      </x:c>
      <x:c r="F145" s="16" t="str">
        <x:v>1. Renseigner le tableau de remarques du chargement.</x:v>
      </x:c>
      <x:c r="G145" s="16" t="str">
        <x:v>Les valeurs et le total sont enregistrés.</x:v>
      </x:c>
      <x:c r="H145" s="16" t="str">
        <x:v>Non exécuté à ce stade. Les prérequis sont désormais disponibles ; scénario à rejouer avant qualification.</x:v>
      </x:c>
      <x:c r="I145" s="11" t="str">
        <x:v>Non testé</x:v>
      </x:c>
      <x:c r="J145" s="12" t="str">
        <x:v>Bloquante</x:v>
      </x:c>
      <x:c r="K145" s="17" t="str">
        <x:v>Requalifié méthodologiquement le 24/07/2026 : aucun blocage actif ni écart fonctionnel démontré.</x:v>
      </x:c>
    </x:row>
    <x:row r="146" ht="42" customHeight="1">
      <x:c r="A146" s="8" t="str">
        <x:v>Cargo</x:v>
      </x:c>
      <x:c r="B146" s="9" t="str">
        <x:v>CG-16</x:v>
      </x:c>
      <x:c r="C146" s="8" t="str">
        <x:v>Revised</x:v>
      </x:c>
      <x:c r="D146" s="8" t="str">
        <x:v>Cargo Controller</x:v>
      </x:c>
      <x:c r="E146" s="10" t="str">
        <x:v>Enregistrement du revised</x:v>
      </x:c>
      <x:c r="F146" s="10" t="str">
        <x:v>1. Cocher la réception du revised. 2. Saisir la date.</x:v>
      </x:c>
      <x:c r="G146" s="10" t="str">
        <x:v>La case et la date sont conservées après rechargement.</x:v>
      </x:c>
      <x:c r="H146" s="10" t="str">
        <x:v>Non exécuté à ce stade. Les prérequis sont désormais disponibles ; scénario à rejouer avant qualification.</x:v>
      </x:c>
      <x:c r="I146" s="11" t="str">
        <x:v>Non testé</x:v>
      </x:c>
      <x:c r="J146" s="19" t="str">
        <x:v>Majeure</x:v>
      </x:c>
      <x:c r="K146" s="13" t="str">
        <x:v>Requalifié méthodologiquement le 24/07/2026 : aucun blocage actif ni écart fonctionnel démontré.</x:v>
      </x:c>
    </x:row>
    <x:row r="147" ht="42" customHeight="1">
      <x:c r="A147" s="14" t="str">
        <x:v>Cargo</x:v>
      </x:c>
      <x:c r="B147" s="15" t="str">
        <x:v>CG-17</x:v>
      </x:c>
      <x:c r="C147" s="14" t="str">
        <x:v>Rapport final</x:v>
      </x:c>
      <x:c r="D147" s="14" t="str">
        <x:v>Cargo Controller</x:v>
      </x:c>
      <x:c r="E147" s="16" t="str">
        <x:v>Saisie du rapport de fin d'opérations</x:v>
      </x:c>
      <x:c r="F147" s="16" t="str">
        <x:v>1. Renseigner les unités débarquées et chargées par type. 2. Observer les totaux.</x:v>
      </x:c>
      <x:c r="G147" s="16" t="str">
        <x:v>Les totaux sont calculés par ligne et par colonne.</x:v>
      </x:c>
      <x:c r="H147" s="16" t="str">
        <x:v>Non exécuté à ce stade. Les prérequis sont désormais disponibles ; scénario à rejouer avant qualification.</x:v>
      </x:c>
      <x:c r="I147" s="11" t="str">
        <x:v>Non testé</x:v>
      </x:c>
      <x:c r="J147" s="12" t="str">
        <x:v>Bloquante</x:v>
      </x:c>
      <x:c r="K147" s="17" t="str">
        <x:v>Requalifié méthodologiquement le 24/07/2026 : aucun blocage actif ni écart fonctionnel démontré.</x:v>
      </x:c>
    </x:row>
    <x:row r="148" ht="42" customHeight="1">
      <x:c r="A148" s="8" t="str">
        <x:v>Cargo</x:v>
      </x:c>
      <x:c r="B148" s="9" t="str">
        <x:v>CG-18</x:v>
      </x:c>
      <x:c r="C148" s="8" t="str">
        <x:v>Clôture</x:v>
      </x:c>
      <x:c r="D148" s="8" t="str">
        <x:v>Cargo Controller</x:v>
      </x:c>
      <x:c r="E148" s="10" t="str">
        <x:v>Confirmation de l'envoi du rapport</x:v>
      </x:c>
      <x:c r="F148" s="10" t="str">
        <x:v>1. Cocher la case de rapport de fin envoyé. 2. Ouvrir les alertes.</x:v>
      </x:c>
      <x:c r="G148" s="10" t="str">
        <x:v>L'alerte de rapport non envoyé disparaît.</x:v>
      </x:c>
      <x:c r="H148" s="10" t="str">
        <x:v>Non exécuté à ce stade. Les prérequis sont désormais disponibles ; scénario à rejouer avant qualification.</x:v>
      </x:c>
      <x:c r="I148" s="11" t="str">
        <x:v>Non testé</x:v>
      </x:c>
      <x:c r="J148" s="19" t="str">
        <x:v>Majeure</x:v>
      </x:c>
      <x:c r="K148" s="13" t="str">
        <x:v>Requalifié méthodologiquement le 24/07/2026 : aucun blocage actif ni écart fonctionnel démontré.</x:v>
      </x:c>
    </x:row>
    <x:row r="149" ht="42" customHeight="1">
      <x:c r="A149" s="14" t="str">
        <x:v>Yard Planner</x:v>
      </x:c>
      <x:c r="B149" s="15" t="str">
        <x:v>YD-01</x:v>
      </x:c>
      <x:c r="C149" s="14" t="str">
        <x:v>Plans</x:v>
      </x:c>
      <x:c r="D149" s="14" t="str">
        <x:v>Yard Planner</x:v>
      </x:c>
      <x:c r="E149" s="16" t="str">
        <x:v>Création d'un plan par navire</x:v>
      </x:c>
      <x:c r="F149" s="16" t="str">
        <x:v>1. Choisir un navire et un service. 2. Observer la zone proposée. 3. Ajouter.</x:v>
      </x:c>
      <x:c r="G149" s="16" t="str">
        <x:v>La zone est proposée automatiquement selon le service et la ligne est créée.</x:v>
      </x:c>
      <x:c r="H149" s="16" t="str">
        <x:v>Non exécuté à ce stade. Les prérequis sont désormais disponibles ; scénario à rejouer avant qualification.</x:v>
      </x:c>
      <x:c r="I149" s="11" t="str">
        <x:v>Non testé</x:v>
      </x:c>
      <x:c r="J149" s="12" t="str">
        <x:v>Bloquante</x:v>
      </x:c>
      <x:c r="K149" s="17" t="str">
        <x:v>Requalifié méthodologiquement le 24/07/2026 : aucun blocage actif ni écart fonctionnel démontré.</x:v>
      </x:c>
    </x:row>
    <x:row r="150" ht="42" customHeight="1">
      <x:c r="A150" s="8" t="str">
        <x:v>Yard Planner</x:v>
      </x:c>
      <x:c r="B150" s="9" t="str">
        <x:v>YD-02</x:v>
      </x:c>
      <x:c r="C150" s="8" t="str">
        <x:v>Plans</x:v>
      </x:c>
      <x:c r="D150" s="8" t="str">
        <x:v>Yard Planner</x:v>
      </x:c>
      <x:c r="E150" s="10" t="str">
        <x:v>Modification de la zone proposée</x:v>
      </x:c>
      <x:c r="F150" s="10" t="str">
        <x:v>1. Remplacer la zone proposée par une autre. 2. Enregistrer.</x:v>
      </x:c>
      <x:c r="G150" s="10" t="str">
        <x:v>La zone choisie est conservée.</x:v>
      </x:c>
      <x:c r="H150" s="10" t="str">
        <x:v>Non exécuté à ce stade. Les prérequis sont désormais disponibles ; scénario à rejouer avant qualification.</x:v>
      </x:c>
      <x:c r="I150" s="11" t="str">
        <x:v>Non testé</x:v>
      </x:c>
      <x:c r="J150" s="19" t="str">
        <x:v>Majeure</x:v>
      </x:c>
      <x:c r="K150" s="13" t="str">
        <x:v>Requalifié méthodologiquement le 24/07/2026 : aucun blocage actif ni écart fonctionnel démontré.</x:v>
      </x:c>
    </x:row>
    <x:row r="151" ht="42" customHeight="1">
      <x:c r="A151" s="14" t="str">
        <x:v>Yard Planner</x:v>
      </x:c>
      <x:c r="B151" s="15" t="str">
        <x:v>YD-03</x:v>
      </x:c>
      <x:c r="C151" s="14" t="str">
        <x:v>Paramétrage</x:v>
      </x:c>
      <x:c r="D151" s="14" t="str">
        <x:v>Yard Planner</x:v>
      </x:c>
      <x:c r="E151" s="16" t="str">
        <x:v>Zones paramétrables</x:v>
      </x:c>
      <x:c r="F151" s="16" t="str">
        <x:v>1. Ajouter une zone au paramétrage d'un service. 2. Créer un plan avec ce service.</x:v>
      </x:c>
      <x:c r="G151" s="16" t="str">
        <x:v>La nouvelle zone est proposée.</x:v>
      </x:c>
      <x:c r="H151" s="16" t="str">
        <x:v>Non exécuté à ce stade. Les prérequis sont désormais disponibles ; scénario à rejouer avant qualification.</x:v>
      </x:c>
      <x:c r="I151" s="11" t="str">
        <x:v>Non testé</x:v>
      </x:c>
      <x:c r="J151" s="19" t="str">
        <x:v>Majeure</x:v>
      </x:c>
      <x:c r="K151" s="17" t="str">
        <x:v>Requalifié méthodologiquement le 24/07/2026 : aucun blocage actif ni écart fonctionnel démontré.</x:v>
      </x:c>
    </x:row>
    <x:row r="152" ht="42" customHeight="1">
      <x:c r="A152" s="8" t="str">
        <x:v>Yard Planner</x:v>
      </x:c>
      <x:c r="B152" s="9" t="str">
        <x:v>YD-04</x:v>
      </x:c>
      <x:c r="C152" s="8" t="str">
        <x:v>Transferts</x:v>
      </x:c>
      <x:c r="D152" s="8" t="str">
        <x:v>Yard Planner</x:v>
      </x:c>
      <x:c r="E152" s="10" t="str">
        <x:v>Saisie d'un transfert sortant</x:v>
      </x:c>
      <x:c r="F152" s="10" t="str">
        <x:v>1. Choisir une bay, saisir le nombre et une description. 2. Ajouter.</x:v>
      </x:c>
      <x:c r="G152" s="10" t="str">
        <x:v>La ligne apparaît dans le tableau.</x:v>
      </x:c>
      <x:c r="H152" s="10" t="str">
        <x:v>Non exécuté à ce stade. Les prérequis sont désormais disponibles ; scénario à rejouer avant qualification.</x:v>
      </x:c>
      <x:c r="I152" s="11" t="str">
        <x:v>Non testé</x:v>
      </x:c>
      <x:c r="J152" s="19" t="str">
        <x:v>Majeure</x:v>
      </x:c>
      <x:c r="K152" s="13" t="str">
        <x:v>Requalifié méthodologiquement le 24/07/2026 : aucun blocage actif ni écart fonctionnel démontré.</x:v>
      </x:c>
    </x:row>
    <x:row r="153" ht="42" customHeight="1">
      <x:c r="A153" s="14" t="str">
        <x:v>Yard Planner</x:v>
      </x:c>
      <x:c r="B153" s="15" t="str">
        <x:v>YD-05</x:v>
      </x:c>
      <x:c r="C153" s="14" t="str">
        <x:v>Paramétrage</x:v>
      </x:c>
      <x:c r="D153" s="14" t="str">
        <x:v>Yard Planner</x:v>
      </x:c>
      <x:c r="E153" s="16" t="str">
        <x:v>Bays paramétrables</x:v>
      </x:c>
      <x:c r="F153" s="16" t="str">
        <x:v>1. Ajouter une bay au paramétrage. 2. Ouvrir la liste des bays.</x:v>
      </x:c>
      <x:c r="G153" s="16" t="str">
        <x:v>La nouvelle bay est proposée.</x:v>
      </x:c>
      <x:c r="H153" s="16" t="str">
        <x:v>Non exécuté à ce stade. Les prérequis sont désormais disponibles ; scénario à rejouer avant qualification.</x:v>
      </x:c>
      <x:c r="I153" s="11" t="str">
        <x:v>Non testé</x:v>
      </x:c>
      <x:c r="J153" s="18" t="str">
        <x:v>Moyenne</x:v>
      </x:c>
      <x:c r="K153" s="17" t="str">
        <x:v>Requalifié méthodologiquement le 24/07/2026 : aucun blocage actif ni écart fonctionnel démontré.</x:v>
      </x:c>
    </x:row>
    <x:row r="154" ht="42" customHeight="1">
      <x:c r="A154" s="8" t="str">
        <x:v>Yard Planner</x:v>
      </x:c>
      <x:c r="B154" s="9" t="str">
        <x:v>YD-06</x:v>
      </x:c>
      <x:c r="C154" s="8" t="str">
        <x:v>Housekeeping</x:v>
      </x:c>
      <x:c r="D154" s="8" t="str">
        <x:v>Yard Planner</x:v>
      </x:c>
      <x:c r="E154" s="10" t="str">
        <x:v>Création d'une tâche</x:v>
      </x:c>
      <x:c r="F154" s="10" t="str">
        <x:v>1. Saisir une tâche, choisir un statut et une note. 2. Ajouter.</x:v>
      </x:c>
      <x:c r="G154" s="10" t="str">
        <x:v>La ligne apparaît avec son statut.</x:v>
      </x:c>
      <x:c r="H154" s="10" t="str">
        <x:v>Non exécuté à ce stade. Les prérequis sont désormais disponibles ; scénario à rejouer avant qualification.</x:v>
      </x:c>
      <x:c r="I154" s="11" t="str">
        <x:v>Non testé</x:v>
      </x:c>
      <x:c r="J154" s="19" t="str">
        <x:v>Majeure</x:v>
      </x:c>
      <x:c r="K154" s="13" t="str">
        <x:v>Requalifié méthodologiquement le 24/07/2026 : aucun blocage actif ni écart fonctionnel démontré.</x:v>
      </x:c>
    </x:row>
    <x:row r="155" ht="42" customHeight="1">
      <x:c r="A155" s="14" t="str">
        <x:v>Yard Planner</x:v>
      </x:c>
      <x:c r="B155" s="15" t="str">
        <x:v>YD-07</x:v>
      </x:c>
      <x:c r="C155" s="14" t="str">
        <x:v>Housekeeping</x:v>
      </x:c>
      <x:c r="D155" s="14" t="str">
        <x:v>Yard Planner</x:v>
      </x:c>
      <x:c r="E155" s="16" t="str">
        <x:v>Valeurs du statut</x:v>
      </x:c>
      <x:c r="F155" s="16" t="str">
        <x:v>1. Ouvrir la liste des statuts de tâche.</x:v>
      </x:c>
      <x:c r="G155" s="16" t="str">
        <x:v>Les trois valeurs attendues sont proposées.</x:v>
      </x:c>
      <x:c r="H155" s="16" t="str">
        <x:v>Non exécuté à ce stade. Les prérequis sont désormais disponibles ; scénario à rejouer avant qualification.</x:v>
      </x:c>
      <x:c r="I155" s="11" t="str">
        <x:v>Non testé</x:v>
      </x:c>
      <x:c r="J155" s="19" t="str">
        <x:v>Majeure</x:v>
      </x:c>
      <x:c r="K155" s="17" t="str">
        <x:v>Requalifié méthodologiquement le 24/07/2026 : aucun blocage actif ni écart fonctionnel démontré.</x:v>
      </x:c>
    </x:row>
    <x:row r="156" ht="42" customHeight="1">
      <x:c r="A156" s="8" t="str">
        <x:v>Yard Planner</x:v>
      </x:c>
      <x:c r="B156" s="9" t="str">
        <x:v>YD-08</x:v>
      </x:c>
      <x:c r="C156" s="8" t="str">
        <x:v>Rapports</x:v>
      </x:c>
      <x:c r="D156" s="8" t="str">
        <x:v>Yard Planner</x:v>
      </x:c>
      <x:c r="E156" s="10" t="str">
        <x:v>Édition des rapports du poste</x:v>
      </x:c>
      <x:c r="F156" s="10" t="str">
        <x:v>1. Générer le rapport de chaque module puis le rapport complet.</x:v>
      </x:c>
      <x:c r="G156" s="10" t="str">
        <x:v>Chaque rapport reprend les données saisies sur le shift.</x:v>
      </x:c>
      <x:c r="H156" s="10" t="str">
        <x:v>Non exécuté à ce stade. Les prérequis sont désormais disponibles ; scénario à rejouer avant qualification.</x:v>
      </x:c>
      <x:c r="I156" s="11" t="str">
        <x:v>Non testé</x:v>
      </x:c>
      <x:c r="J156" s="19" t="str">
        <x:v>Majeure</x:v>
      </x:c>
      <x:c r="K156" s="13" t="str">
        <x:v>Requalifié méthodologiquement le 24/07/2026 : aucun blocage actif ni écart fonctionnel démontré.</x:v>
      </x:c>
    </x:row>
    <x:row r="157" ht="42" customHeight="1">
      <x:c r="A157" s="14" t="str">
        <x:v>ITT Controller</x:v>
      </x:c>
      <x:c r="B157" s="15" t="str">
        <x:v>ITT-01</x:v>
      </x:c>
      <x:c r="C157" s="14" t="str">
        <x:v>Navigation</x:v>
      </x:c>
      <x:c r="D157" s="14" t="str">
        <x:v>ITT Controller</x:v>
      </x:c>
      <x:c r="E157" s="16" t="str">
        <x:v>Navigation entre les rubriques</x:v>
      </x:c>
      <x:c r="F157" s="16" t="str">
        <x:v>1. Ouvrir l'écran ITT. 2. Cliquer successivement sur chaque bulle de rubrique.</x:v>
      </x:c>
      <x:c r="G157" s="16" t="str">
        <x:v>Chaque clic affiche la rubrique correspondante.</x:v>
      </x:c>
      <x:c r="H157" s="16" t="str">
        <x:v>Non exécuté à ce stade. Les prérequis sont désormais disponibles ; scénario à rejouer avant qualification.</x:v>
      </x:c>
      <x:c r="I157" s="11" t="str">
        <x:v>Non testé</x:v>
      </x:c>
      <x:c r="J157" s="12" t="str">
        <x:v>Bloquante</x:v>
      </x:c>
      <x:c r="K157" s="17" t="str">
        <x:v>Requalifié méthodologiquement le 24/07/2026 : aucun blocage actif ni écart fonctionnel démontré.</x:v>
      </x:c>
    </x:row>
    <x:row r="158" ht="42" customHeight="1">
      <x:c r="A158" s="8" t="str">
        <x:v>ITT Controller</x:v>
      </x:c>
      <x:c r="B158" s="9" t="str">
        <x:v>ITT-02</x:v>
      </x:c>
      <x:c r="C158" s="8" t="str">
        <x:v>Équipements</x:v>
      </x:c>
      <x:c r="D158" s="8" t="str">
        <x:v>ITT Controller</x:v>
      </x:c>
      <x:c r="E158" s="10" t="str">
        <x:v>Saisie du nombre d'équipements</x:v>
      </x:c>
      <x:c r="F158" s="10" t="str">
        <x:v>1. Saisir le nombre d'équipements disponibles. 2. Recharger l'écran.</x:v>
      </x:c>
      <x:c r="G158" s="10" t="str">
        <x:v>La valeur est conservée.</x:v>
      </x:c>
      <x:c r="H158" s="10" t="str">
        <x:v>Non exécuté à ce stade. Les prérequis sont désormais disponibles ; scénario à rejouer avant qualification.</x:v>
      </x:c>
      <x:c r="I158" s="11" t="str">
        <x:v>Non testé</x:v>
      </x:c>
      <x:c r="J158" s="19" t="str">
        <x:v>Majeure</x:v>
      </x:c>
      <x:c r="K158" s="13" t="str">
        <x:v>Requalifié méthodologiquement le 24/07/2026 : aucun blocage actif ni écart fonctionnel démontré.</x:v>
      </x:c>
    </x:row>
    <x:row r="159" ht="42" customHeight="1">
      <x:c r="A159" s="14" t="str">
        <x:v>ITT Controller</x:v>
      </x:c>
      <x:c r="B159" s="15" t="str">
        <x:v>ITT-03</x:v>
      </x:c>
      <x:c r="C159" s="14" t="str">
        <x:v>Transferts</x:v>
      </x:c>
      <x:c r="D159" s="14" t="str">
        <x:v>ITT Controller</x:v>
      </x:c>
      <x:c r="E159" s="16" t="str">
        <x:v>Saisie des transferts par navire</x:v>
      </x:c>
      <x:c r="F159" s="16" t="str">
        <x:v>1. Choisir un navire. 2. Saisir à transférer, transférés et reçus. 3. Ajouter.</x:v>
      </x:c>
      <x:c r="G159" s="16" t="str">
        <x:v>La ligne apparaît avec ses trois valeurs.</x:v>
      </x:c>
      <x:c r="H159" s="16" t="str">
        <x:v>Non exécuté à ce stade. Les prérequis sont désormais disponibles ; scénario à rejouer avant qualification.</x:v>
      </x:c>
      <x:c r="I159" s="11" t="str">
        <x:v>Non testé</x:v>
      </x:c>
      <x:c r="J159" s="19" t="str">
        <x:v>Majeure</x:v>
      </x:c>
      <x:c r="K159" s="17" t="str">
        <x:v>Requalifié méthodologiquement le 24/07/2026 : aucun blocage actif ni écart fonctionnel démontré.</x:v>
      </x:c>
    </x:row>
    <x:row r="160" ht="42" customHeight="1">
      <x:c r="A160" s="8" t="str">
        <x:v>ITT Controller</x:v>
      </x:c>
      <x:c r="B160" s="9" t="str">
        <x:v>ITT-04</x:v>
      </x:c>
      <x:c r="C160" s="8" t="str">
        <x:v>Incidents</x:v>
      </x:c>
      <x:c r="D160" s="8" t="str">
        <x:v>ITT Controller</x:v>
      </x:c>
      <x:c r="E160" s="10" t="str">
        <x:v>Saisie d'un incident</x:v>
      </x:c>
      <x:c r="F160" s="10" t="str">
        <x:v>1. Saisir l'objet, les bornes horaires et une note. 2. Ajouter.</x:v>
      </x:c>
      <x:c r="G160" s="10" t="str">
        <x:v>La ligne apparaît avec sa durée calculée.</x:v>
      </x:c>
      <x:c r="H160" s="10" t="str">
        <x:v>Non exécuté à ce stade. Les prérequis sont désormais disponibles ; scénario à rejouer avant qualification.</x:v>
      </x:c>
      <x:c r="I160" s="11" t="str">
        <x:v>Non testé</x:v>
      </x:c>
      <x:c r="J160" s="19" t="str">
        <x:v>Majeure</x:v>
      </x:c>
      <x:c r="K160" s="13" t="str">
        <x:v>Requalifié méthodologiquement le 24/07/2026 : aucun blocage actif ni écart fonctionnel démontré.</x:v>
      </x:c>
    </x:row>
    <x:row r="161" ht="42" customHeight="1">
      <x:c r="A161" s="14" t="str">
        <x:v>ITT Controller</x:v>
      </x:c>
      <x:c r="B161" s="15" t="str">
        <x:v>ITT-05</x:v>
      </x:c>
      <x:c r="C161" s="14" t="str">
        <x:v>Pannes</x:v>
      </x:c>
      <x:c r="D161" s="14" t="str">
        <x:v>ITT Controller</x:v>
      </x:c>
      <x:c r="E161" s="16" t="str">
        <x:v>Saisie d'une panne d'engin</x:v>
      </x:c>
      <x:c r="F161" s="16" t="str">
        <x:v>1. Saisir l'engin, les bornes horaires et la cause. 2. Ajouter.</x:v>
      </x:c>
      <x:c r="G161" s="16" t="str">
        <x:v>La ligne apparaît et la cause saisie est bien celle enregistrée.</x:v>
      </x:c>
      <x:c r="H161" s="16" t="str">
        <x:v>Non exécuté à ce stade. Les prérequis sont désormais disponibles ; scénario à rejouer avant qualification.</x:v>
      </x:c>
      <x:c r="I161" s="11" t="str">
        <x:v>Non testé</x:v>
      </x:c>
      <x:c r="J161" s="12" t="str">
        <x:v>Bloquante</x:v>
      </x:c>
      <x:c r="K161" s="17" t="str">
        <x:v>Requalifié méthodologiquement le 24/07/2026 : aucun blocage actif ni écart fonctionnel démontré.</x:v>
      </x:c>
    </x:row>
    <x:row r="162" ht="42" customHeight="1">
      <x:c r="A162" s="8" t="str">
        <x:v>ITT Controller</x:v>
      </x:c>
      <x:c r="B162" s="9" t="str">
        <x:v>ITT-06</x:v>
      </x:c>
      <x:c r="C162" s="8" t="str">
        <x:v>Pannes</x:v>
      </x:c>
      <x:c r="D162" s="8" t="str">
        <x:v>ITT Controller</x:v>
      </x:c>
      <x:c r="E162" s="10" t="str">
        <x:v>Retrait d'effectif</x:v>
      </x:c>
      <x:c r="F162" s="10" t="str">
        <x:v>1. Déclarer une panne avec retrait d'effectif. 2. Observer le compteur.</x:v>
      </x:c>
      <x:c r="G162" s="10" t="str">
        <x:v>L'effectif disponible est diminué.</x:v>
      </x:c>
      <x:c r="H162" s="10" t="str">
        <x:v>Non exécuté à ce stade. Les prérequis sont désormais disponibles ; scénario à rejouer avant qualification.</x:v>
      </x:c>
      <x:c r="I162" s="11" t="str">
        <x:v>Non testé</x:v>
      </x:c>
      <x:c r="J162" s="19" t="str">
        <x:v>Majeure</x:v>
      </x:c>
      <x:c r="K162" s="13" t="str">
        <x:v>Requalifié méthodologiquement le 24/07/2026 : aucun blocage actif ni écart fonctionnel démontré.</x:v>
      </x:c>
    </x:row>
    <x:row r="163" ht="42" customHeight="1">
      <x:c r="A163" s="14" t="str">
        <x:v>ITT Controller</x:v>
      </x:c>
      <x:c r="B163" s="15" t="str">
        <x:v>ITT-07</x:v>
      </x:c>
      <x:c r="C163" s="14" t="str">
        <x:v>Rapport</x:v>
      </x:c>
      <x:c r="D163" s="14" t="str">
        <x:v>ITT Controller</x:v>
      </x:c>
      <x:c r="E163" s="16" t="str">
        <x:v>Reprise dans le rapport de shift</x:v>
      </x:c>
      <x:c r="F163" s="16" t="str">
        <x:v>1. Saisir des données ITT. 2. Se connecter en Coordinateur. 3. Éditer le rapport de shift.</x:v>
      </x:c>
      <x:c r="G163" s="16" t="str">
        <x:v>Les données ITT figurent dans le rapport.</x:v>
      </x:c>
      <x:c r="H163" s="16" t="str">
        <x:v>Non exécuté à ce stade. Les prérequis sont désormais disponibles ; scénario à rejouer avant qualification.</x:v>
      </x:c>
      <x:c r="I163" s="11" t="str">
        <x:v>Non testé</x:v>
      </x:c>
      <x:c r="J163" s="19" t="str">
        <x:v>Majeure</x:v>
      </x:c>
      <x:c r="K163" s="17" t="str">
        <x:v>Requalifié méthodologiquement le 24/07/2026 : aucun blocage actif ni écart fonctionnel démontré.</x:v>
      </x:c>
    </x:row>
    <x:row r="164" ht="42" customHeight="1">
      <x:c r="A164" s="8" t="str">
        <x:v>Coordinateur</x:v>
      </x:c>
      <x:c r="B164" s="9" t="str">
        <x:v>CO-01</x:v>
      </x:c>
      <x:c r="C164" s="8" t="str">
        <x:v>Sélection</x:v>
      </x:c>
      <x:c r="D164" s="8" t="str">
        <x:v>Coordinateur</x:v>
      </x:c>
      <x:c r="E164" s="10" t="str">
        <x:v>Choix de la date et du shift</x:v>
      </x:c>
      <x:c r="F164" s="10" t="str">
        <x:v>1. Ouvrir l'écran coordinateur. 2. Sélectionner une date et une période.</x:v>
      </x:c>
      <x:c r="G164" s="10" t="str">
        <x:v>Les rubriques se rafraîchissent sur le périmètre choisi.</x:v>
      </x:c>
      <x:c r="H164" s="10" t="str">
        <x:v>Non exécuté à ce stade. Les prérequis sont désormais disponibles ; scénario à rejouer avant qualification.</x:v>
      </x:c>
      <x:c r="I164" s="11" t="str">
        <x:v>Non testé</x:v>
      </x:c>
      <x:c r="J164" s="12" t="str">
        <x:v>Bloquante</x:v>
      </x:c>
      <x:c r="K164" s="13" t="str">
        <x:v>Requalifié méthodologiquement le 24/07/2026 : aucun blocage actif ni écart fonctionnel démontré.</x:v>
      </x:c>
    </x:row>
    <x:row r="165" ht="42" customHeight="1">
      <x:c r="A165" s="14" t="str">
        <x:v>Coordinateur</x:v>
      </x:c>
      <x:c r="B165" s="15" t="str">
        <x:v>CO-02</x:v>
      </x:c>
      <x:c r="C165" s="14" t="str">
        <x:v>Navires</x:v>
      </x:c>
      <x:c r="D165" s="14" t="str">
        <x:v>Coordinateur</x:v>
      </x:c>
      <x:c r="E165" s="16" t="str">
        <x:v>Situation des navires</x:v>
      </x:c>
      <x:c r="F165" s="16" t="str">
        <x:v>1. Ouvrir la rubrique Navires.</x:v>
      </x:c>
      <x:c r="G165" s="16" t="str">
        <x:v>Chaque navire est affiché avec son statut, sa planification et l'avancement des consolidations.</x:v>
      </x:c>
      <x:c r="H165" s="16" t="str">
        <x:v>La rubrique Navires affiche le navire présent avec les colonnes Navire, Voyage, Statut opérations et Planification.</x:v>
      </x:c>
      <x:c r="I165" s="11" t="str">
        <x:v>OK</x:v>
      </x:c>
      <x:c r="J165" s="12" t="str">
        <x:v>Bloquante</x:v>
      </x:c>
      <x:c r="K165" s="17" t="str">
        <x:v>Réf. SF-CO-04 · Recette Codex 23/07/2026 — GET /Coordination = HTTP 200 ; inspection textuelle : Synthèse navires, Navire, Voyage, Statut ops., Planification.</x:v>
      </x:c>
    </x:row>
    <x:row r="166" ht="42" customHeight="1">
      <x:c r="A166" s="8" t="str">
        <x:v>Coordinateur</x:v>
      </x:c>
      <x:c r="B166" s="9" t="str">
        <x:v>CO-03</x:v>
      </x:c>
      <x:c r="C166" s="8" t="str">
        <x:v>Consolidation</x:v>
      </x:c>
      <x:c r="D166" s="8" t="str">
        <x:v>Coordinateur</x:v>
      </x:c>
      <x:c r="E166" s="10" t="str">
        <x:v>Reprise des saisies STS</x:v>
      </x:c>
      <x:c r="F166" s="10" t="str">
        <x:v>1. Saisir des données en STS sur le shift. 2. Ouvrir la rubrique STS du coordinateur. 3. Actualiser.</x:v>
      </x:c>
      <x:c r="G166" s="10" t="str">
        <x:v>Les données saisies apparaissent.</x:v>
      </x:c>
      <x:c r="H166" s="10" t="str">
        <x:v>Non exécuté à ce stade. Les prérequis sont désormais disponibles ; scénario à rejouer avant qualification.</x:v>
      </x:c>
      <x:c r="I166" s="11" t="str">
        <x:v>Non testé</x:v>
      </x:c>
      <x:c r="J166" s="12" t="str">
        <x:v>Bloquante</x:v>
      </x:c>
      <x:c r="K166" s="13" t="str">
        <x:v>Requalifié méthodologiquement le 24/07/2026 : aucun blocage actif ni écart fonctionnel démontré.</x:v>
      </x:c>
    </x:row>
    <x:row r="167" ht="42" customHeight="1">
      <x:c r="A167" s="14" t="str">
        <x:v>Coordinateur</x:v>
      </x:c>
      <x:c r="B167" s="15" t="str">
        <x:v>CO-04</x:v>
      </x:c>
      <x:c r="C167" s="14" t="str">
        <x:v>Consolidation</x:v>
      </x:c>
      <x:c r="D167" s="14" t="str">
        <x:v>Coordinateur</x:v>
      </x:c>
      <x:c r="E167" s="16" t="str">
        <x:v>Reprise des saisies TT</x:v>
      </x:c>
      <x:c r="F167" s="16" t="str">
        <x:v>1. Même contrôle pour le poste TT.</x:v>
      </x:c>
      <x:c r="G167" s="16" t="str">
        <x:v>Les données du poste TT apparaissent.</x:v>
      </x:c>
      <x:c r="H167" s="16" t="str">
        <x:v>Non exécuté à ce stade. Les prérequis sont désormais disponibles ; scénario à rejouer avant qualification.</x:v>
      </x:c>
      <x:c r="I167" s="11" t="str">
        <x:v>Non testé</x:v>
      </x:c>
      <x:c r="J167" s="12" t="str">
        <x:v>Bloquante</x:v>
      </x:c>
      <x:c r="K167" s="17" t="str">
        <x:v>Requalifié méthodologiquement le 24/07/2026 : aucun blocage actif ni écart fonctionnel démontré.</x:v>
      </x:c>
    </x:row>
    <x:row r="168" ht="42" customHeight="1">
      <x:c r="A168" s="8" t="str">
        <x:v>Coordinateur</x:v>
      </x:c>
      <x:c r="B168" s="9" t="str">
        <x:v>CO-05</x:v>
      </x:c>
      <x:c r="C168" s="8" t="str">
        <x:v>Consolidation</x:v>
      </x:c>
      <x:c r="D168" s="8" t="str">
        <x:v>Coordinateur</x:v>
      </x:c>
      <x:c r="E168" s="10" t="str">
        <x:v>Reprise des saisies RTG et Autres engins</x:v>
      </x:c>
      <x:c r="F168" s="10" t="str">
        <x:v>1. Même contrôle pour les postes RTG et Autres engins.</x:v>
      </x:c>
      <x:c r="G168" s="10" t="str">
        <x:v>Les données des deux postes apparaissent.</x:v>
      </x:c>
      <x:c r="H168" s="10" t="str">
        <x:v>Non exécuté à ce stade. Les prérequis sont désormais disponibles ; scénario à rejouer avant qualification.</x:v>
      </x:c>
      <x:c r="I168" s="11" t="str">
        <x:v>Non testé</x:v>
      </x:c>
      <x:c r="J168" s="19" t="str">
        <x:v>Majeure</x:v>
      </x:c>
      <x:c r="K168" s="13" t="str">
        <x:v>Requalifié méthodologiquement le 24/07/2026 : aucun blocage actif ni écart fonctionnel démontré.</x:v>
      </x:c>
    </x:row>
    <x:row r="169" ht="42" customHeight="1">
      <x:c r="A169" s="14" t="str">
        <x:v>Coordinateur</x:v>
      </x:c>
      <x:c r="B169" s="15" t="str">
        <x:v>CO-06</x:v>
      </x:c>
      <x:c r="C169" s="14" t="str">
        <x:v>Consolidation</x:v>
      </x:c>
      <x:c r="D169" s="14" t="str">
        <x:v>Coordinateur</x:v>
      </x:c>
      <x:c r="E169" s="16" t="str">
        <x:v>Reprise des saisies Cargo et Yard</x:v>
      </x:c>
      <x:c r="F169" s="16" t="str">
        <x:v>1. Même contrôle pour les postes Cargo et Yard.</x:v>
      </x:c>
      <x:c r="G169" s="16" t="str">
        <x:v>Les données des deux postes apparaissent.</x:v>
      </x:c>
      <x:c r="H169" s="16" t="str">
        <x:v>Non exécuté à ce stade. Les prérequis sont désormais disponibles ; scénario à rejouer avant qualification.</x:v>
      </x:c>
      <x:c r="I169" s="11" t="str">
        <x:v>Non testé</x:v>
      </x:c>
      <x:c r="J169" s="19" t="str">
        <x:v>Majeure</x:v>
      </x:c>
      <x:c r="K169" s="17" t="str">
        <x:v>Requalifié méthodologiquement le 24/07/2026 : aucun blocage actif ni écart fonctionnel démontré.</x:v>
      </x:c>
    </x:row>
    <x:row r="170" ht="42" customHeight="1">
      <x:c r="A170" s="8" t="str">
        <x:v>Coordinateur</x:v>
      </x:c>
      <x:c r="B170" s="9" t="str">
        <x:v>CO-07</x:v>
      </x:c>
      <x:c r="C170" s="8" t="str">
        <x:v>Consolidation</x:v>
      </x:c>
      <x:c r="D170" s="8" t="str">
        <x:v>Coordinateur</x:v>
      </x:c>
      <x:c r="E170" s="10" t="str">
        <x:v>Rubrique vide en l'absence de saisie</x:v>
      </x:c>
      <x:c r="F170" s="10" t="str">
        <x:v>1. Choisir un shift sans aucune saisie. 2. Ouvrir une rubrique.</x:v>
      </x:c>
      <x:c r="G170" s="10" t="str">
        <x:v>La rubrique indique explicitement l'absence de saisie.</x:v>
      </x:c>
      <x:c r="H170" s="10" t="str">
        <x:v>Non exécuté à ce stade. Les prérequis sont désormais disponibles ; scénario à rejouer avant qualification.</x:v>
      </x:c>
      <x:c r="I170" s="11" t="str">
        <x:v>Non testé</x:v>
      </x:c>
      <x:c r="J170" s="19" t="str">
        <x:v>Majeure</x:v>
      </x:c>
      <x:c r="K170" s="13" t="str">
        <x:v>Requalifié méthodologiquement le 24/07/2026 : aucun blocage actif ni écart fonctionnel démontré.</x:v>
      </x:c>
    </x:row>
    <x:row r="171" ht="42" customHeight="1">
      <x:c r="A171" s="14" t="str">
        <x:v>Coordinateur</x:v>
      </x:c>
      <x:c r="B171" s="15" t="str">
        <x:v>CO-08</x:v>
      </x:c>
      <x:c r="C171" s="14" t="str">
        <x:v>Observations</x:v>
      </x:c>
      <x:c r="D171" s="14" t="str">
        <x:v>Coordinateur</x:v>
      </x:c>
      <x:c r="E171" s="16" t="str">
        <x:v>Saisie d'une observation</x:v>
      </x:c>
      <x:c r="F171" s="16" t="str">
        <x:v>1. Saisir un objet, des bornes horaires et une note. 2. Ajouter.</x:v>
      </x:c>
      <x:c r="G171" s="16" t="str">
        <x:v>L'observation est enregistrée et visible dans le rapport.</x:v>
      </x:c>
      <x:c r="H171" s="16" t="str">
        <x:v>Non exécuté à ce stade. Les prérequis sont désormais disponibles ; scénario à rejouer avant qualification.</x:v>
      </x:c>
      <x:c r="I171" s="11" t="str">
        <x:v>Non testé</x:v>
      </x:c>
      <x:c r="J171" s="12" t="str">
        <x:v>Bloquante</x:v>
      </x:c>
      <x:c r="K171" s="17" t="str">
        <x:v>Requalifié méthodologiquement le 24/07/2026 : aucun blocage actif ni écart fonctionnel démontré.</x:v>
      </x:c>
    </x:row>
    <x:row r="172" ht="42" customHeight="1">
      <x:c r="A172" s="8" t="str">
        <x:v>Coordinateur</x:v>
      </x:c>
      <x:c r="B172" s="9" t="str">
        <x:v>CO-09</x:v>
      </x:c>
      <x:c r="C172" s="8" t="str">
        <x:v>Paramétrage</x:v>
      </x:c>
      <x:c r="D172" s="8" t="str">
        <x:v>Coordinateur</x:v>
      </x:c>
      <x:c r="E172" s="10" t="str">
        <x:v>Choix des modules affichés</x:v>
      </x:c>
      <x:c r="F172" s="10" t="str">
        <x:v>1. Décocher un module dans les paramètres. 2. Revenir à l'écran.</x:v>
      </x:c>
      <x:c r="G172" s="10" t="str">
        <x:v>La rubrique correspondante n'est plus affichée.</x:v>
      </x:c>
      <x:c r="H172" s="10" t="str">
        <x:v>Non exécuté à ce stade. Les prérequis sont désormais disponibles ; scénario à rejouer avant qualification.</x:v>
      </x:c>
      <x:c r="I172" s="11" t="str">
        <x:v>Non testé</x:v>
      </x:c>
      <x:c r="J172" s="18" t="str">
        <x:v>Moyenne</x:v>
      </x:c>
      <x:c r="K172" s="13" t="str">
        <x:v>Requalifié méthodologiquement le 24/07/2026 : aucun blocage actif ni écart fonctionnel démontré.</x:v>
      </x:c>
    </x:row>
    <x:row r="173" ht="42" customHeight="1">
      <x:c r="A173" s="14" t="str">
        <x:v>Coordinateur</x:v>
      </x:c>
      <x:c r="B173" s="15" t="str">
        <x:v>CO-10</x:v>
      </x:c>
      <x:c r="C173" s="14" t="str">
        <x:v>Équipe</x:v>
      </x:c>
      <x:c r="D173" s="14" t="str">
        <x:v>Coordinateur</x:v>
      </x:c>
      <x:c r="E173" s="16" t="str">
        <x:v>Rattachement à l'équipe</x:v>
      </x:c>
      <x:c r="F173" s="16" t="str">
        <x:v>1. Se connecter avec PREP-09 (équipe B). 2. Comparer avec PREP-08 (équipe A).</x:v>
      </x:c>
      <x:c r="G173" s="16" t="str">
        <x:v>Le périmètre de consolidation correspond à l'équipe du compte.</x:v>
      </x:c>
      <x:c r="H173" s="16" t="str">
        <x:v>Non exécuté à ce stade. Les prérequis sont désormais disponibles ; scénario à rejouer avant qualification.</x:v>
      </x:c>
      <x:c r="I173" s="11" t="str">
        <x:v>Non testé</x:v>
      </x:c>
      <x:c r="J173" s="19" t="str">
        <x:v>Majeure</x:v>
      </x:c>
      <x:c r="K173" s="17" t="str">
        <x:v>Requalifié méthodologiquement le 24/07/2026 : aucun blocage actif ni écart fonctionnel démontré.</x:v>
      </x:c>
    </x:row>
    <x:row r="174" ht="42" customHeight="1">
      <x:c r="A174" s="8" t="str">
        <x:v>Coordinateur</x:v>
      </x:c>
      <x:c r="B174" s="9" t="str">
        <x:v>CO-11</x:v>
      </x:c>
      <x:c r="C174" s="8" t="str">
        <x:v>Rapport</x:v>
      </x:c>
      <x:c r="D174" s="8" t="str">
        <x:v>Coordinateur</x:v>
      </x:c>
      <x:c r="E174" s="10" t="str">
        <x:v>Édition du rapport de fin de shift</x:v>
      </x:c>
      <x:c r="F174" s="10" t="str">
        <x:v>1. Générer le rapport de shift. 2. Parcourir le document.</x:v>
      </x:c>
      <x:c r="G174" s="10" t="str">
        <x:v>Le rapport rassemble les saisies de tous les postes et les observations du coordinateur.</x:v>
      </x:c>
      <x:c r="H174" s="10" t="str">
        <x:v>Non exécuté à ce stade. Les prérequis sont désormais disponibles ; scénario à rejouer avant qualification.</x:v>
      </x:c>
      <x:c r="I174" s="11" t="str">
        <x:v>Non testé</x:v>
      </x:c>
      <x:c r="J174" s="12" t="str">
        <x:v>Bloquante</x:v>
      </x:c>
      <x:c r="K174" s="13" t="str">
        <x:v>Requalifié méthodologiquement le 24/07/2026 : aucun blocage actif ni écart fonctionnel démontré.</x:v>
      </x:c>
    </x:row>
    <x:row r="175" ht="42" customHeight="1">
      <x:c r="A175" s="14" t="str">
        <x:v>Coordinateur</x:v>
      </x:c>
      <x:c r="B175" s="15" t="str">
        <x:v>CO-12</x:v>
      </x:c>
      <x:c r="C175" s="14" t="str">
        <x:v>Rapport</x:v>
      </x:c>
      <x:c r="D175" s="14" t="str">
        <x:v>Coordinateur</x:v>
      </x:c>
      <x:c r="E175" s="16" t="str">
        <x:v>Mention des auteurs</x:v>
      </x:c>
      <x:c r="F175" s="16" t="str">
        <x:v>1. Consulter le rapport généré.</x:v>
      </x:c>
      <x:c r="G175" s="16" t="str">
        <x:v>Le nom de l'agent auteur de chaque contribution est mentionné.</x:v>
      </x:c>
      <x:c r="H175" s="16" t="str">
        <x:v>Non exécuté à ce stade. Les prérequis sont désormais disponibles ; scénario à rejouer avant qualification.</x:v>
      </x:c>
      <x:c r="I175" s="11" t="str">
        <x:v>Non testé</x:v>
      </x:c>
      <x:c r="J175" s="19" t="str">
        <x:v>Majeure</x:v>
      </x:c>
      <x:c r="K175" s="17" t="str">
        <x:v>Requalifié méthodologiquement le 24/07/2026 : aucun blocage actif ni écart fonctionnel démontré.</x:v>
      </x:c>
    </x:row>
    <x:row r="176" ht="42" customHeight="1">
      <x:c r="A176" s="8" t="str">
        <x:v>Rapports</x:v>
      </x:c>
      <x:c r="B176" s="9" t="str">
        <x:v>RPT-01</x:v>
      </x:c>
      <x:c r="C176" s="8" t="str">
        <x:v>Aperçu</x:v>
      </x:c>
      <x:c r="D176" s="8" t="str">
        <x:v>Vessel Planner</x:v>
      </x:c>
      <x:c r="E176" s="10" t="str">
        <x:v>Aperçu avant génération</x:v>
      </x:c>
      <x:c r="F176" s="10" t="str">
        <x:v>1. Ouvrir l'onglet d'aperçu du rapport. 2. Parcourir les sections.</x:v>
      </x:c>
      <x:c r="G176" s="10" t="str">
        <x:v>Les six sections apparaissent dans l'ordre attendu.</x:v>
      </x:c>
      <x:c r="H176" s="10" t="str">
        <x:v>Non exécuté à ce stade. Les prérequis sont désormais disponibles ; scénario à rejouer avant qualification.</x:v>
      </x:c>
      <x:c r="I176" s="11" t="str">
        <x:v>Non testé</x:v>
      </x:c>
      <x:c r="J176" s="12" t="str">
        <x:v>Bloquante</x:v>
      </x:c>
      <x:c r="K176" s="13" t="str">
        <x:v>Requalifié méthodologiquement le 24/07/2026 : aucun blocage actif ni écart fonctionnel démontré.</x:v>
      </x:c>
    </x:row>
    <x:row r="177" ht="42" customHeight="1">
      <x:c r="A177" s="14" t="str">
        <x:v>Rapports</x:v>
      </x:c>
      <x:c r="B177" s="15" t="str">
        <x:v>RPT-02</x:v>
      </x:c>
      <x:c r="C177" s="14" t="str">
        <x:v>Portée</x:v>
      </x:c>
      <x:c r="D177" s="14" t="str">
        <x:v>Vessel Planner</x:v>
      </x:c>
      <x:c r="E177" s="16" t="str">
        <x:v>Rapport limité au navire courant</x:v>
      </x:c>
      <x:c r="F177" s="16" t="str">
        <x:v>1. Générer le rapport pour le navire ouvert.</x:v>
      </x:c>
      <x:c r="G177" s="16" t="str">
        <x:v>Seules les données de ce navire figurent au document.</x:v>
      </x:c>
      <x:c r="H177" s="16" t="str">
        <x:v>Non exécuté à ce stade. Les prérequis sont désormais disponibles ; scénario à rejouer avant qualification.</x:v>
      </x:c>
      <x:c r="I177" s="11" t="str">
        <x:v>Non testé</x:v>
      </x:c>
      <x:c r="J177" s="19" t="str">
        <x:v>Majeure</x:v>
      </x:c>
      <x:c r="K177" s="17" t="str">
        <x:v>Requalifié méthodologiquement le 24/07/2026 : aucun blocage actif ni écart fonctionnel démontré.</x:v>
      </x:c>
    </x:row>
    <x:row r="178" ht="42" customHeight="1">
      <x:c r="A178" s="8" t="str">
        <x:v>Rapports</x:v>
      </x:c>
      <x:c r="B178" s="9" t="str">
        <x:v>RPT-03</x:v>
      </x:c>
      <x:c r="C178" s="8" t="str">
        <x:v>Portée</x:v>
      </x:c>
      <x:c r="D178" s="8" t="str">
        <x:v>Vessel Planner</x:v>
      </x:c>
      <x:c r="E178" s="10" t="str">
        <x:v>Rapport général multi-navires</x:v>
      </x:c>
      <x:c r="F178" s="10" t="str">
        <x:v>1. Générer le rapport général. 2. Parcourir le document.</x:v>
      </x:c>
      <x:c r="G178" s="10" t="str">
        <x:v>Les navires en cours figurent tous au document.</x:v>
      </x:c>
      <x:c r="H178" s="10" t="str">
        <x:v>Non exécuté à ce stade. Les prérequis sont désormais disponibles ; scénario à rejouer avant qualification.</x:v>
      </x:c>
      <x:c r="I178" s="11" t="str">
        <x:v>Non testé</x:v>
      </x:c>
      <x:c r="J178" s="19" t="str">
        <x:v>Majeure</x:v>
      </x:c>
      <x:c r="K178" s="13" t="str">
        <x:v>Requalifié méthodologiquement le 24/07/2026 : aucun blocage actif ni écart fonctionnel démontré.</x:v>
      </x:c>
    </x:row>
    <x:row r="179" ht="42" customHeight="1">
      <x:c r="A179" s="14" t="str">
        <x:v>Rapports</x:v>
      </x:c>
      <x:c r="B179" s="15" t="str">
        <x:v>RPT-04</x:v>
      </x:c>
      <x:c r="C179" s="14" t="str">
        <x:v>Planification</x:v>
      </x:c>
      <x:c r="D179" s="14" t="str">
        <x:v>Vessel Planner</x:v>
      </x:c>
      <x:c r="E179" s="16" t="str">
        <x:v>Navires proposés à la sélection</x:v>
      </x:c>
      <x:c r="F179" s="16" t="str">
        <x:v>1. Ouvrir la section de planification. 2. Comparer avec la liste des escales.</x:v>
      </x:c>
      <x:c r="G179" s="16" t="str">
        <x:v>Tous les navires non terminés dont le plan n'est pas validé sont proposés, y compris à ETA dépassée.</x:v>
      </x:c>
      <x:c r="H179" s="16" t="str">
        <x:v>Non exécuté à ce stade. Les prérequis sont désormais disponibles ; scénario à rejouer avant qualification.</x:v>
      </x:c>
      <x:c r="I179" s="11" t="str">
        <x:v>Non testé</x:v>
      </x:c>
      <x:c r="J179" s="12" t="str">
        <x:v>Bloquante</x:v>
      </x:c>
      <x:c r="K179" s="17" t="str">
        <x:v>Requalifié méthodologiquement le 24/07/2026 : aucun blocage actif ni écart fonctionnel démontré.</x:v>
      </x:c>
    </x:row>
    <x:row r="180" ht="42" customHeight="1">
      <x:c r="A180" s="8" t="str">
        <x:v>Rapports</x:v>
      </x:c>
      <x:c r="B180" s="9" t="str">
        <x:v>RPT-05</x:v>
      </x:c>
      <x:c r="C180" s="8" t="str">
        <x:v>Planification</x:v>
      </x:c>
      <x:c r="D180" s="8" t="str">
        <x:v>Vessel Planner</x:v>
      </x:c>
      <x:c r="E180" s="10" t="str">
        <x:v>Exclusion des plans validés</x:v>
      </x:c>
      <x:c r="F180" s="10" t="str">
        <x:v>1. Passer un navire à Plan validé. 2. Rouvrir la liste de sélection.</x:v>
      </x:c>
      <x:c r="G180" s="10" t="str">
        <x:v>Le navire n'est plus proposé.</x:v>
      </x:c>
      <x:c r="H180" s="10" t="str">
        <x:v>Non exécuté à ce stade. Les prérequis sont désormais disponibles ; scénario à rejouer avant qualification.</x:v>
      </x:c>
      <x:c r="I180" s="11" t="str">
        <x:v>Non testé</x:v>
      </x:c>
      <x:c r="J180" s="19" t="str">
        <x:v>Majeure</x:v>
      </x:c>
      <x:c r="K180" s="13" t="str">
        <x:v>Requalifié méthodologiquement le 24/07/2026 : aucun blocage actif ni écart fonctionnel démontré.</x:v>
      </x:c>
    </x:row>
    <x:row r="181" ht="42" customHeight="1">
      <x:c r="A181" s="14" t="str">
        <x:v>Rapports</x:v>
      </x:c>
      <x:c r="B181" s="15" t="str">
        <x:v>RPT-06</x:v>
      </x:c>
      <x:c r="C181" s="14" t="str">
        <x:v>Planification</x:v>
      </x:c>
      <x:c r="D181" s="14" t="str">
        <x:v>Vessel Planner</x:v>
      </x:c>
      <x:c r="E181" s="16" t="str">
        <x:v>Commentaire par navire</x:v>
      </x:c>
      <x:c r="F181" s="16" t="str">
        <x:v>1. Cocher un navire. 2. Saisir un commentaire. 3. Générer le rapport.</x:v>
      </x:c>
      <x:c r="G181" s="16" t="str">
        <x:v>Le commentaire figure en regard du navire.</x:v>
      </x:c>
      <x:c r="H181" s="16" t="str">
        <x:v>Non exécuté à ce stade. Les prérequis sont désormais disponibles ; scénario à rejouer avant qualification.</x:v>
      </x:c>
      <x:c r="I181" s="11" t="str">
        <x:v>Non testé</x:v>
      </x:c>
      <x:c r="J181" s="19" t="str">
        <x:v>Majeure</x:v>
      </x:c>
      <x:c r="K181" s="17" t="str">
        <x:v>Requalifié méthodologiquement le 24/07/2026 : aucun blocage actif ni écart fonctionnel démontré.</x:v>
      </x:c>
    </x:row>
    <x:row r="182" ht="42" customHeight="1">
      <x:c r="A182" s="8" t="str">
        <x:v>Rapports</x:v>
      </x:c>
      <x:c r="B182" s="9" t="str">
        <x:v>RPT-07</x:v>
      </x:c>
      <x:c r="C182" s="8" t="str">
        <x:v>Planification</x:v>
      </x:c>
      <x:c r="D182" s="8" t="str">
        <x:v>Vessel Planner</x:v>
      </x:c>
      <x:c r="E182" s="10" t="str">
        <x:v>Mémorisation de la sélection</x:v>
      </x:c>
      <x:c r="F182" s="10" t="str">
        <x:v>1. Sélectionner deux navires. 2. Quitter l'écran. 3. Y revenir.</x:v>
      </x:c>
      <x:c r="G182" s="10" t="str">
        <x:v>La sélection est restituée.</x:v>
      </x:c>
      <x:c r="H182" s="10" t="str">
        <x:v>Non exécuté à ce stade. Les prérequis sont désormais disponibles ; scénario à rejouer avant qualification.</x:v>
      </x:c>
      <x:c r="I182" s="11" t="str">
        <x:v>Non testé</x:v>
      </x:c>
      <x:c r="J182" s="18" t="str">
        <x:v>Moyenne</x:v>
      </x:c>
      <x:c r="K182" s="13" t="str">
        <x:v>Requalifié méthodologiquement le 24/07/2026 : aucun blocage actif ni écart fonctionnel démontré.</x:v>
      </x:c>
    </x:row>
    <x:row r="183" ht="42" customHeight="1">
      <x:c r="A183" s="14" t="str">
        <x:v>Rapports</x:v>
      </x:c>
      <x:c r="B183" s="15" t="str">
        <x:v>RPT-08</x:v>
      </x:c>
      <x:c r="C183" s="14" t="str">
        <x:v>PDF</x:v>
      </x:c>
      <x:c r="D183" s="14" t="str">
        <x:v>Vessel Planner</x:v>
      </x:c>
      <x:c r="E183" s="16" t="str">
        <x:v>Génération du PDF</x:v>
      </x:c>
      <x:c r="F183" s="16" t="str">
        <x:v>1. Lancer la génération. 2. Choisir l'enregistrement au format PDF.</x:v>
      </x:c>
      <x:c r="G183" s="16" t="str">
        <x:v>Le document est produit et lisible.</x:v>
      </x:c>
      <x:c r="H183" s="16" t="str">
        <x:v>Non exécuté à ce stade. Les prérequis sont désormais disponibles ; scénario à rejouer avant qualification.</x:v>
      </x:c>
      <x:c r="I183" s="11" t="str">
        <x:v>Non testé</x:v>
      </x:c>
      <x:c r="J183" s="12" t="str">
        <x:v>Bloquante</x:v>
      </x:c>
      <x:c r="K183" s="17" t="str">
        <x:v>Requalifié méthodologiquement le 24/07/2026 : aucun blocage actif ni écart fonctionnel démontré.</x:v>
      </x:c>
    </x:row>
    <x:row r="184" ht="42" customHeight="1">
      <x:c r="A184" s="8" t="str">
        <x:v>Rapports</x:v>
      </x:c>
      <x:c r="B184" s="9" t="str">
        <x:v>RPT-09</x:v>
      </x:c>
      <x:c r="C184" s="8" t="str">
        <x:v>PDF</x:v>
      </x:c>
      <x:c r="D184" s="8" t="str">
        <x:v>Vessel Planner</x:v>
      </x:c>
      <x:c r="E184" s="10" t="str">
        <x:v>Pagination des tableaux</x:v>
      </x:c>
      <x:c r="F184" s="10" t="str">
        <x:v>1. Générer un rapport comportant un long tableau. 2. Observer les sauts de page.</x:v>
      </x:c>
      <x:c r="G184" s="10" t="str">
        <x:v>Les tableaux se poursuivent proprement d'une page à l'autre, sans ligne coupée.</x:v>
      </x:c>
      <x:c r="H184" s="10" t="str">
        <x:v>Non exécuté à ce stade. Les prérequis sont désormais disponibles ; scénario à rejouer avant qualification.</x:v>
      </x:c>
      <x:c r="I184" s="11" t="str">
        <x:v>Non testé</x:v>
      </x:c>
      <x:c r="J184" s="19" t="str">
        <x:v>Majeure</x:v>
      </x:c>
      <x:c r="K184" s="13" t="str">
        <x:v>Requalifié méthodologiquement le 24/07/2026 : aucun blocage actif ni écart fonctionnel démontré.</x:v>
      </x:c>
    </x:row>
    <x:row r="185" ht="42" customHeight="1">
      <x:c r="A185" s="14" t="str">
        <x:v>Rapports</x:v>
      </x:c>
      <x:c r="B185" s="15" t="str">
        <x:v>RPT-10</x:v>
      </x:c>
      <x:c r="C185" s="14" t="str">
        <x:v>PDF</x:v>
      </x:c>
      <x:c r="D185" s="14" t="str">
        <x:v>Vessel Planner</x:v>
      </x:c>
      <x:c r="E185" s="16" t="str">
        <x:v>Entête du document</x:v>
      </x:c>
      <x:c r="F185" s="16" t="str">
        <x:v>1. Consulter la première page du PDF.</x:v>
      </x:c>
      <x:c r="G185" s="16" t="str">
        <x:v>La société, le planificateur et la date de génération sont mentionnés.</x:v>
      </x:c>
      <x:c r="H185" s="16" t="str">
        <x:v>Non exécuté à ce stade. Les prérequis sont désormais disponibles ; scénario à rejouer avant qualification.</x:v>
      </x:c>
      <x:c r="I185" s="11" t="str">
        <x:v>Non testé</x:v>
      </x:c>
      <x:c r="J185" s="19" t="str">
        <x:v>Majeure</x:v>
      </x:c>
      <x:c r="K185" s="17" t="str">
        <x:v>Requalifié méthodologiquement le 24/07/2026 : aucun blocage actif ni écart fonctionnel démontré.</x:v>
      </x:c>
    </x:row>
    <x:row r="186" ht="42" customHeight="1">
      <x:c r="A186" s="8" t="str">
        <x:v>Rapports</x:v>
      </x:c>
      <x:c r="B186" s="9" t="str">
        <x:v>RPT-11</x:v>
      </x:c>
      <x:c r="C186" s="8" t="str">
        <x:v>Courriel</x:v>
      </x:c>
      <x:c r="D186" s="8" t="str">
        <x:v>Cargo Controller</x:v>
      </x:c>
      <x:c r="E186" s="10" t="str">
        <x:v>Préparation d'un brouillon</x:v>
      </x:c>
      <x:c r="F186" s="10" t="str">
        <x:v>1. Cliquer sur l'envoi par courriel d'un rapport.</x:v>
      </x:c>
      <x:c r="G186" s="10" t="str">
        <x:v>Un brouillon s'ouvre dans la messagerie, objet et corps pré-remplis.</x:v>
      </x:c>
      <x:c r="H186" s="10" t="str">
        <x:v>Non exécuté à ce stade. Les prérequis sont désormais disponibles ; scénario à rejouer avant qualification.</x:v>
      </x:c>
      <x:c r="I186" s="11" t="str">
        <x:v>Non testé</x:v>
      </x:c>
      <x:c r="J186" s="19" t="str">
        <x:v>Majeure</x:v>
      </x:c>
      <x:c r="K186" s="13" t="str">
        <x:v>Requalifié méthodologiquement le 24/07/2026 : aucun blocage actif ni écart fonctionnel démontré.</x:v>
      </x:c>
    </x:row>
    <x:row r="187" ht="42" customHeight="1">
      <x:c r="A187" s="14" t="str">
        <x:v>Rapports</x:v>
      </x:c>
      <x:c r="B187" s="15" t="str">
        <x:v>RPT-12</x:v>
      </x:c>
      <x:c r="C187" s="14" t="str">
        <x:v>Courriel</x:v>
      </x:c>
      <x:c r="D187" s="14" t="str">
        <x:v>Cargo Controller</x:v>
      </x:c>
      <x:c r="E187" s="16" t="str">
        <x:v>Substitution des variables</x:v>
      </x:c>
      <x:c r="F187" s="16" t="str">
        <x:v>1. Consulter l'objet du brouillon.</x:v>
      </x:c>
      <x:c r="G187" s="16" t="str">
        <x:v>Le navire, le voyage et la visite sont remplacés par leurs valeurs réelles.</x:v>
      </x:c>
      <x:c r="H187" s="16" t="str">
        <x:v>Non exécuté à ce stade. Les prérequis sont désormais disponibles ; scénario à rejouer avant qualification.</x:v>
      </x:c>
      <x:c r="I187" s="11" t="str">
        <x:v>Non testé</x:v>
      </x:c>
      <x:c r="J187" s="19" t="str">
        <x:v>Majeure</x:v>
      </x:c>
      <x:c r="K187" s="17" t="str">
        <x:v>Requalifié méthodologiquement le 24/07/2026 : aucun blocage actif ni écart fonctionnel démontré.</x:v>
      </x:c>
    </x:row>
    <x:row r="188" ht="42" customHeight="1">
      <x:c r="A188" s="8" t="str">
        <x:v>Rapports</x:v>
      </x:c>
      <x:c r="B188" s="9" t="str">
        <x:v>RPT-13</x:v>
      </x:c>
      <x:c r="C188" s="8" t="str">
        <x:v>Courriel</x:v>
      </x:c>
      <x:c r="D188" s="8" t="str">
        <x:v>Administrateur</x:v>
      </x:c>
      <x:c r="E188" s="10" t="str">
        <x:v>Paramétrage des modèles</x:v>
      </x:c>
      <x:c r="F188" s="10" t="str">
        <x:v>1. Modifier l'objet d'un modèle. 2. Générer un nouveau brouillon.</x:v>
      </x:c>
      <x:c r="G188" s="10" t="str">
        <x:v>Le nouvel objet est utilisé.</x:v>
      </x:c>
      <x:c r="H188" s="10" t="str">
        <x:v>Non exécuté à ce stade. Les prérequis sont désormais disponibles ; scénario à rejouer avant qualification.</x:v>
      </x:c>
      <x:c r="I188" s="11" t="str">
        <x:v>Non testé</x:v>
      </x:c>
      <x:c r="J188" s="18" t="str">
        <x:v>Moyenne</x:v>
      </x:c>
      <x:c r="K188" s="13" t="str">
        <x:v>Requalifié méthodologiquement le 24/07/2026 : aucun blocage actif ni écart fonctionnel démontré.</x:v>
      </x:c>
    </x:row>
    <x:row r="189" ht="42" customHeight="1">
      <x:c r="A189" s="14" t="str">
        <x:v>Rapports</x:v>
      </x:c>
      <x:c r="B189" s="15" t="str">
        <x:v>RPT-14</x:v>
      </x:c>
      <x:c r="C189" s="14" t="str">
        <x:v>Excel</x:v>
      </x:c>
      <x:c r="D189" s="14" t="str">
        <x:v>Coordinateur</x:v>
      </x:c>
      <x:c r="E189" s="16" t="str">
        <x:v>Export d'analyse</x:v>
      </x:c>
      <x:c r="F189" s="16" t="str">
        <x:v>1. Générer l'export tableur. 2. Ouvrir le fichier.</x:v>
      </x:c>
      <x:c r="G189" s="16" t="str">
        <x:v>Le fichier contient les indicateurs consolidés et le détail des registres.</x:v>
      </x:c>
      <x:c r="H189" s="16" t="str">
        <x:v>Non exécuté à ce stade. Les prérequis sont désormais disponibles ; scénario à rejouer avant qualification.</x:v>
      </x:c>
      <x:c r="I189" s="11" t="str">
        <x:v>Non testé</x:v>
      </x:c>
      <x:c r="J189" s="19" t="str">
        <x:v>Majeure</x:v>
      </x:c>
      <x:c r="K189" s="17" t="str">
        <x:v>Requalifié méthodologiquement le 24/07/2026 : aucun blocage actif ni écart fonctionnel démontré.</x:v>
      </x:c>
    </x:row>
    <x:row r="190" ht="42" customHeight="1">
      <x:c r="A190" s="8" t="str">
        <x:v>Paramètres</x:v>
      </x:c>
      <x:c r="B190" s="9" t="str">
        <x:v>PAR-01</x:v>
      </x:c>
      <x:c r="C190" s="8" t="str">
        <x:v>Thèmes</x:v>
      </x:c>
      <x:c r="D190" s="8" t="str">
        <x:v>Tout rôle</x:v>
      </x:c>
      <x:c r="E190" s="10" t="str">
        <x:v>Changement de thème</x:v>
      </x:c>
      <x:c r="F190" s="10" t="str">
        <x:v>1. Ouvrir les paramètres. 2. Choisir un autre thème.</x:v>
      </x:c>
      <x:c r="G190" s="10" t="str">
        <x:v>L'interface se recolore immédiatement.</x:v>
      </x:c>
      <x:c r="H190" s="10" t="str">
        <x:v>Non exécuté à ce stade. Les prérequis sont désormais disponibles ; scénario à rejouer avant qualification.</x:v>
      </x:c>
      <x:c r="I190" s="11" t="str">
        <x:v>Non testé</x:v>
      </x:c>
      <x:c r="J190" s="18" t="str">
        <x:v>Moyenne</x:v>
      </x:c>
      <x:c r="K190" s="13" t="str">
        <x:v>Requalifié méthodologiquement le 24/07/2026 : aucun blocage actif ni écart fonctionnel démontré.</x:v>
      </x:c>
    </x:row>
    <x:row r="191" ht="42" customHeight="1">
      <x:c r="A191" s="14" t="str">
        <x:v>Paramètres</x:v>
      </x:c>
      <x:c r="B191" s="15" t="str">
        <x:v>PAR-02</x:v>
      </x:c>
      <x:c r="C191" s="14" t="str">
        <x:v>Thèmes</x:v>
      </x:c>
      <x:c r="D191" s="14" t="str">
        <x:v>Tout rôle</x:v>
      </x:c>
      <x:c r="E191" s="16" t="str">
        <x:v>Thème personnel au compte</x:v>
      </x:c>
      <x:c r="F191" s="16" t="str">
        <x:v>1. Changer de thème avec PREP-01. 2. Se connecter avec PREP-05.</x:v>
      </x:c>
      <x:c r="G191" s="16" t="str">
        <x:v>Le thème du second compte est inchangé.</x:v>
      </x:c>
      <x:c r="H191" s="16" t="str">
        <x:v>Non exécuté à ce stade. Les prérequis sont désormais disponibles ; scénario à rejouer avant qualification.</x:v>
      </x:c>
      <x:c r="I191" s="11" t="str">
        <x:v>Non testé</x:v>
      </x:c>
      <x:c r="J191" s="18" t="str">
        <x:v>Moyenne</x:v>
      </x:c>
      <x:c r="K191" s="17" t="str">
        <x:v>Requalifié méthodologiquement le 24/07/2026 : aucun blocage actif ni écart fonctionnel démontré.</x:v>
      </x:c>
    </x:row>
    <x:row r="192" ht="42" customHeight="1">
      <x:c r="A192" s="8" t="str">
        <x:v>Paramètres</x:v>
      </x:c>
      <x:c r="B192" s="9" t="str">
        <x:v>PAR-03</x:v>
      </x:c>
      <x:c r="C192" s="8" t="str">
        <x:v>Animation</x:v>
      </x:c>
      <x:c r="D192" s="8" t="str">
        <x:v>Tout rôle</x:v>
      </x:c>
      <x:c r="E192" s="10" t="str">
        <x:v>Choix de l'animation d'en-tête</x:v>
      </x:c>
      <x:c r="F192" s="10" t="str">
        <x:v>1. Ouvrir les paramètres. 2. Choisir successivement les trois animations.</x:v>
      </x:c>
      <x:c r="G192" s="10" t="str">
        <x:v>L'animation change immédiatement pour prévisualisation.</x:v>
      </x:c>
      <x:c r="H192" s="10" t="str">
        <x:v>Non exécuté à ce stade. Les prérequis sont désormais disponibles ; scénario à rejouer avant qualification.</x:v>
      </x:c>
      <x:c r="I192" s="11" t="str">
        <x:v>Non testé</x:v>
      </x:c>
      <x:c r="J192" s="18" t="str">
        <x:v>Moyenne</x:v>
      </x:c>
      <x:c r="K192" s="13" t="str">
        <x:v>Requalifié méthodologiquement le 24/07/2026 : aucun blocage actif ni écart fonctionnel démontré.</x:v>
      </x:c>
    </x:row>
    <x:row r="193" ht="42" customHeight="1">
      <x:c r="A193" s="14" t="str">
        <x:v>Paramètres</x:v>
      </x:c>
      <x:c r="B193" s="15" t="str">
        <x:v>PAR-04</x:v>
      </x:c>
      <x:c r="C193" s="14" t="str">
        <x:v>Animation</x:v>
      </x:c>
      <x:c r="D193" s="14" t="str">
        <x:v>Tout rôle</x:v>
      </x:c>
      <x:c r="E193" s="16" t="str">
        <x:v>Abandon sans enregistrement</x:v>
      </x:c>
      <x:c r="F193" s="16" t="str">
        <x:v>1. Changer d'animation. 2. Fermer les paramètres sans enregistrer.</x:v>
      </x:c>
      <x:c r="G193" s="16" t="str">
        <x:v>L'animation précédente est rétablie.</x:v>
      </x:c>
      <x:c r="H193" s="16" t="str">
        <x:v>Non exécuté à ce stade. Les prérequis sont désormais disponibles ; scénario à rejouer avant qualification.</x:v>
      </x:c>
      <x:c r="I193" s="11" t="str">
        <x:v>Non testé</x:v>
      </x:c>
      <x:c r="J193" s="18" t="str">
        <x:v>Moyenne</x:v>
      </x:c>
      <x:c r="K193" s="17" t="str">
        <x:v>Requalifié méthodologiquement le 24/07/2026 : aucun blocage actif ni écart fonctionnel démontré.</x:v>
      </x:c>
    </x:row>
    <x:row r="194" ht="42" customHeight="1">
      <x:c r="A194" s="8" t="str">
        <x:v>Paramètres</x:v>
      </x:c>
      <x:c r="B194" s="9" t="str">
        <x:v>PAR-05</x:v>
      </x:c>
      <x:c r="C194" s="8" t="str">
        <x:v>Listes</x:v>
      </x:c>
      <x:c r="D194" s="8" t="str">
        <x:v>Tout rôle</x:v>
      </x:c>
      <x:c r="E194" s="10" t="str">
        <x:v>Ajout d'une valeur de liste</x:v>
      </x:c>
      <x:c r="F194" s="10" t="str">
        <x:v>1. Ajouter une raison d'anomalie. 2. Ouvrir la liste des raisons dans une escale.</x:v>
      </x:c>
      <x:c r="G194" s="10" t="str">
        <x:v>La nouvelle valeur est proposée.</x:v>
      </x:c>
      <x:c r="H194" s="10" t="str">
        <x:v>Non exécuté à ce stade. Les prérequis sont désormais disponibles ; scénario à rejouer avant qualification.</x:v>
      </x:c>
      <x:c r="I194" s="11" t="str">
        <x:v>Non testé</x:v>
      </x:c>
      <x:c r="J194" s="19" t="str">
        <x:v>Majeure</x:v>
      </x:c>
      <x:c r="K194" s="13" t="str">
        <x:v>Requalifié méthodologiquement le 24/07/2026 : aucun blocage actif ni écart fonctionnel démontré.</x:v>
      </x:c>
    </x:row>
    <x:row r="195" ht="42" customHeight="1">
      <x:c r="A195" s="14" t="str">
        <x:v>Paramètres</x:v>
      </x:c>
      <x:c r="B195" s="15" t="str">
        <x:v>PAR-06</x:v>
      </x:c>
      <x:c r="C195" s="14" t="str">
        <x:v>Listes</x:v>
      </x:c>
      <x:c r="D195" s="14" t="str">
        <x:v>Tout rôle</x:v>
      </x:c>
      <x:c r="E195" s="16" t="str">
        <x:v>Suppression d'une valeur de liste</x:v>
      </x:c>
      <x:c r="F195" s="16" t="str">
        <x:v>1. Retirer une valeur. 2. Ouvrir la liste correspondante.</x:v>
      </x:c>
      <x:c r="G195" s="16" t="str">
        <x:v>La valeur n'est plus proposée.</x:v>
      </x:c>
      <x:c r="H195" s="16" t="str">
        <x:v>Non exécuté à ce stade. Les prérequis sont désormais disponibles ; scénario à rejouer avant qualification.</x:v>
      </x:c>
      <x:c r="I195" s="11" t="str">
        <x:v>Non testé</x:v>
      </x:c>
      <x:c r="J195" s="19" t="str">
        <x:v>Majeure</x:v>
      </x:c>
      <x:c r="K195" s="17" t="str">
        <x:v>Requalifié méthodologiquement le 24/07/2026 : aucun blocage actif ni écart fonctionnel démontré.</x:v>
      </x:c>
    </x:row>
    <x:row r="196" ht="42" customHeight="1">
      <x:c r="A196" s="8" t="str">
        <x:v>Paramètres</x:v>
      </x:c>
      <x:c r="B196" s="9" t="str">
        <x:v>PAR-07</x:v>
      </x:c>
      <x:c r="C196" s="8" t="str">
        <x:v>Listes</x:v>
      </x:c>
      <x:c r="D196" s="8" t="str">
        <x:v>Tout rôle</x:v>
      </x:c>
      <x:c r="E196" s="10" t="str">
        <x:v>Conservation des données existantes</x:v>
      </x:c>
      <x:c r="F196" s="10" t="str">
        <x:v>1. Retirer une valeur déjà utilisée par une ligne saisie. 2. Ouvrir la ligne.</x:v>
      </x:c>
      <x:c r="G196" s="10" t="str">
        <x:v>La valeur reste affichée sur la ligne existante.</x:v>
      </x:c>
      <x:c r="H196" s="10" t="str">
        <x:v>Non exécuté à ce stade. Les prérequis sont désormais disponibles ; scénario à rejouer avant qualification.</x:v>
      </x:c>
      <x:c r="I196" s="11" t="str">
        <x:v>Non testé</x:v>
      </x:c>
      <x:c r="J196" s="19" t="str">
        <x:v>Majeure</x:v>
      </x:c>
      <x:c r="K196" s="13" t="str">
        <x:v>Requalifié méthodologiquement le 24/07/2026 : aucun blocage actif ni écart fonctionnel démontré.</x:v>
      </x:c>
    </x:row>
    <x:row r="197" ht="42" customHeight="1">
      <x:c r="A197" s="14" t="str">
        <x:v>Paramètres</x:v>
      </x:c>
      <x:c r="B197" s="15" t="str">
        <x:v>PAR-08</x:v>
      </x:c>
      <x:c r="C197" s="14" t="str">
        <x:v>Persistance</x:v>
      </x:c>
      <x:c r="D197" s="14" t="str">
        <x:v>Tout rôle</x:v>
      </x:c>
      <x:c r="E197" s="16" t="str">
        <x:v>Restitution des préférences</x:v>
      </x:c>
      <x:c r="F197" s="16" t="str">
        <x:v>1. Modifier plusieurs préférences. 2. Se déconnecter. 3. Se reconnecter.</x:v>
      </x:c>
      <x:c r="G197" s="16" t="str">
        <x:v>Les préférences sont restituées.</x:v>
      </x:c>
      <x:c r="H197" s="16" t="str">
        <x:v>Non exécuté à ce stade. Les prérequis sont désormais disponibles ; scénario à rejouer avant qualification.</x:v>
      </x:c>
      <x:c r="I197" s="11" t="str">
        <x:v>Non testé</x:v>
      </x:c>
      <x:c r="J197" s="19" t="str">
        <x:v>Majeure</x:v>
      </x:c>
      <x:c r="K197" s="17" t="str">
        <x:v>Requalifié méthodologiquement le 24/07/2026 : aucun blocage actif ni écart fonctionnel démontré.</x:v>
      </x:c>
    </x:row>
    <x:row r="198" ht="42" customHeight="1">
      <x:c r="A198" s="8" t="str">
        <x:v>Paramètres</x:v>
      </x:c>
      <x:c r="B198" s="9" t="str">
        <x:v>PAR-09</x:v>
      </x:c>
      <x:c r="C198" s="8" t="str">
        <x:v>Société</x:v>
      </x:c>
      <x:c r="D198" s="8" t="str">
        <x:v>Administrateur</x:v>
      </x:c>
      <x:c r="E198" s="10" t="str">
        <x:v>Paramétrage de l'émetteur</x:v>
      </x:c>
      <x:c r="F198" s="10" t="str">
        <x:v>1. Renseigner la société et le planificateur par défaut. 2. Générer un rapport.</x:v>
      </x:c>
      <x:c r="G198" s="10" t="str">
        <x:v>Les valeurs figurent dans l'entête du document.</x:v>
      </x:c>
      <x:c r="H198" s="10" t="str">
        <x:v>Non exécuté à ce stade. Les prérequis sont désormais disponibles ; scénario à rejouer avant qualification.</x:v>
      </x:c>
      <x:c r="I198" s="11" t="str">
        <x:v>Non testé</x:v>
      </x:c>
      <x:c r="J198" s="18" t="str">
        <x:v>Moyenne</x:v>
      </x:c>
      <x:c r="K198" s="13" t="str">
        <x:v>Requalifié méthodologiquement le 24/07/2026 : aucun blocage actif ni écart fonctionnel démontré.</x:v>
      </x:c>
    </x:row>
    <x:row r="199" ht="42" customHeight="1">
      <x:c r="A199" s="14" t="str">
        <x:v>Persistance</x:v>
      </x:c>
      <x:c r="B199" s="15" t="str">
        <x:v>PER-01</x:v>
      </x:c>
      <x:c r="C199" s="14" t="str">
        <x:v>Sauvegarde</x:v>
      </x:c>
      <x:c r="D199" s="14" t="str">
        <x:v>Tout rôle</x:v>
      </x:c>
      <x:c r="E199" s="16" t="str">
        <x:v>Enregistrement automatique</x:v>
      </x:c>
      <x:c r="F199" s="16" t="str">
        <x:v>1. Saisir une valeur. 2. Quitter le champ sans cliquer sur un bouton. 3. Recharger l'écran.</x:v>
      </x:c>
      <x:c r="G199" s="16" t="str">
        <x:v>La valeur est conservée sans action d'enregistrement.</x:v>
      </x:c>
      <x:c r="H199" s="16" t="str">
        <x:v>Non exécuté à ce stade. Les prérequis sont désormais disponibles ; scénario à rejouer avant qualification.</x:v>
      </x:c>
      <x:c r="I199" s="11" t="str">
        <x:v>Non testé</x:v>
      </x:c>
      <x:c r="J199" s="12" t="str">
        <x:v>Bloquante</x:v>
      </x:c>
      <x:c r="K199" s="17" t="str">
        <x:v>Requalifié méthodologiquement le 24/07/2026 : aucun blocage actif ni écart fonctionnel démontré.</x:v>
      </x:c>
    </x:row>
    <x:row r="200" ht="42" customHeight="1">
      <x:c r="A200" s="8" t="str">
        <x:v>Persistance</x:v>
      </x:c>
      <x:c r="B200" s="9" t="str">
        <x:v>PER-02</x:v>
      </x:c>
      <x:c r="C200" s="8" t="str">
        <x:v>Sauvegarde</x:v>
      </x:c>
      <x:c r="D200" s="8" t="str">
        <x:v>Tout rôle</x:v>
      </x:c>
      <x:c r="E200" s="10" t="str">
        <x:v>Persistance après fermeture du navigateur</x:v>
      </x:c>
      <x:c r="F200" s="10" t="str">
        <x:v>1. Saisir des données. 2. Fermer le navigateur. 3. Rouvrir et se reconnecter.</x:v>
      </x:c>
      <x:c r="G200" s="10" t="str">
        <x:v>Les données sont restituées.</x:v>
      </x:c>
      <x:c r="H200" s="10" t="str">
        <x:v>Non exécuté à ce stade. Les prérequis sont désormais disponibles ; scénario à rejouer avant qualification.</x:v>
      </x:c>
      <x:c r="I200" s="11" t="str">
        <x:v>Non testé</x:v>
      </x:c>
      <x:c r="J200" s="12" t="str">
        <x:v>Bloquante</x:v>
      </x:c>
      <x:c r="K200" s="13" t="str">
        <x:v>Requalifié méthodologiquement le 24/07/2026 : aucun blocage actif ni écart fonctionnel démontré.</x:v>
      </x:c>
    </x:row>
    <x:row r="201" ht="42" customHeight="1">
      <x:c r="A201" s="14" t="str">
        <x:v>Persistance</x:v>
      </x:c>
      <x:c r="B201" s="15" t="str">
        <x:v>PER-03</x:v>
      </x:c>
      <x:c r="C201" s="14" t="str">
        <x:v>Synchronisation</x:v>
      </x:c>
      <x:c r="D201" s="14" t="str">
        <x:v>Tout rôle</x:v>
      </x:c>
      <x:c r="E201" s="16" t="str">
        <x:v>Partage entre postes de travail</x:v>
      </x:c>
      <x:c r="F201" s="16" t="str">
        <x:v>1. Saisir une escale sur le poste 1. 2. Se connecter sur le poste 2. 3. Actualiser.</x:v>
      </x:c>
      <x:c r="G201" s="16" t="str">
        <x:v>L'escale apparaît sur le second poste.</x:v>
      </x:c>
      <x:c r="H201" s="16" t="str">
        <x:v>Non exécuté à ce stade. Les prérequis sont désormais disponibles ; scénario à rejouer avant qualification.</x:v>
      </x:c>
      <x:c r="I201" s="11" t="str">
        <x:v>Non testé</x:v>
      </x:c>
      <x:c r="J201" s="12" t="str">
        <x:v>Bloquante</x:v>
      </x:c>
      <x:c r="K201" s="17" t="str">
        <x:v>Requalifié méthodologiquement le 24/07/2026 : aucun blocage actif ni écart fonctionnel démontré.</x:v>
      </x:c>
    </x:row>
    <x:row r="202" ht="42" customHeight="1">
      <x:c r="A202" s="8" t="str">
        <x:v>Persistance</x:v>
      </x:c>
      <x:c r="B202" s="9" t="str">
        <x:v>PER-04</x:v>
      </x:c>
      <x:c r="C202" s="8" t="str">
        <x:v>Synchronisation</x:v>
      </x:c>
      <x:c r="D202" s="8" t="str">
        <x:v>Tout rôle</x:v>
      </x:c>
      <x:c r="E202" s="10" t="str">
        <x:v>Indicateur d'état de connexion</x:v>
      </x:c>
      <x:c r="F202" s="10" t="str">
        <x:v>1. Observer la barre supérieure.</x:v>
      </x:c>
      <x:c r="G202" s="10" t="str">
        <x:v>L'état de la connexion à la base est affiché.</x:v>
      </x:c>
      <x:c r="H202" s="10" t="str">
        <x:v>Non exécuté à ce stade. Les prérequis sont désormais disponibles ; scénario à rejouer avant qualification.</x:v>
      </x:c>
      <x:c r="I202" s="11" t="str">
        <x:v>Non testé</x:v>
      </x:c>
      <x:c r="J202" s="19" t="str">
        <x:v>Majeure</x:v>
      </x:c>
      <x:c r="K202" s="13" t="str">
        <x:v>Requalifié méthodologiquement le 24/07/2026 : aucun blocage actif ni écart fonctionnel démontré.</x:v>
      </x:c>
    </x:row>
    <x:row r="203" ht="42" customHeight="1">
      <x:c r="A203" s="14" t="str">
        <x:v>Persistance</x:v>
      </x:c>
      <x:c r="B203" s="15" t="str">
        <x:v>PER-05</x:v>
      </x:c>
      <x:c r="C203" s="14" t="str">
        <x:v>Mode dégradé</x:v>
      </x:c>
      <x:c r="D203" s="14" t="str">
        <x:v>Tout rôle</x:v>
      </x:c>
      <x:c r="E203" s="16" t="str">
        <x:v>Saisie sans réseau</x:v>
      </x:c>
      <x:c r="F203" s="16" t="str">
        <x:v>1. Couper la connexion réseau. 2. Saisir plusieurs lignes.</x:v>
      </x:c>
      <x:c r="G203" s="16" t="str">
        <x:v>La saisie reste possible et n'est pas bloquée.</x:v>
      </x:c>
      <x:c r="H203" s="16" t="str">
        <x:v>Non exécuté à ce stade. Les prérequis sont désormais disponibles ; scénario à rejouer avant qualification.</x:v>
      </x:c>
      <x:c r="I203" s="11" t="str">
        <x:v>Non testé</x:v>
      </x:c>
      <x:c r="J203" s="12" t="str">
        <x:v>Bloquante</x:v>
      </x:c>
      <x:c r="K203" s="17" t="str">
        <x:v>Requalifié méthodologiquement le 24/07/2026 : aucun blocage actif ni écart fonctionnel démontré.</x:v>
      </x:c>
    </x:row>
    <x:row r="204" ht="42" customHeight="1">
      <x:c r="A204" s="8" t="str">
        <x:v>Persistance</x:v>
      </x:c>
      <x:c r="B204" s="9" t="str">
        <x:v>PER-06</x:v>
      </x:c>
      <x:c r="C204" s="8" t="str">
        <x:v>Mode dégradé</x:v>
      </x:c>
      <x:c r="D204" s="8" t="str">
        <x:v>Tout rôle</x:v>
      </x:c>
      <x:c r="E204" s="10" t="str">
        <x:v>Signalement de la perte de connexion</x:v>
      </x:c>
      <x:c r="F204" s="10" t="str">
        <x:v>1. Couper la connexion. 2. Observer l'indicateur.</x:v>
      </x:c>
      <x:c r="G204" s="10" t="str">
        <x:v>L'indicateur signale la perte de connexion.</x:v>
      </x:c>
      <x:c r="H204" s="10" t="str">
        <x:v>Non exécuté à ce stade. Les prérequis sont désormais disponibles ; scénario à rejouer avant qualification.</x:v>
      </x:c>
      <x:c r="I204" s="11" t="str">
        <x:v>Non testé</x:v>
      </x:c>
      <x:c r="J204" s="19" t="str">
        <x:v>Majeure</x:v>
      </x:c>
      <x:c r="K204" s="13" t="str">
        <x:v>Requalifié méthodologiquement le 24/07/2026 : aucun blocage actif ni écart fonctionnel démontré.</x:v>
      </x:c>
    </x:row>
    <x:row r="205" ht="42" customHeight="1">
      <x:c r="A205" s="14" t="str">
        <x:v>Persistance</x:v>
      </x:c>
      <x:c r="B205" s="15" t="str">
        <x:v>PER-07</x:v>
      </x:c>
      <x:c r="C205" s="14" t="str">
        <x:v>Mode dégradé</x:v>
      </x:c>
      <x:c r="D205" s="14" t="str">
        <x:v>Tout rôle</x:v>
      </x:c>
      <x:c r="E205" s="16" t="str">
        <x:v>Reprise après rétablissement</x:v>
      </x:c>
      <x:c r="F205" s="16" t="str">
        <x:v>1. Rétablir la connexion. 2. Actualiser. 3. Vérifier depuis un autre poste.</x:v>
      </x:c>
      <x:c r="G205" s="16" t="str">
        <x:v>Les données saisies hors connexion sont remontées en base.</x:v>
      </x:c>
      <x:c r="H205" s="16" t="str">
        <x:v>Non exécuté à ce stade. Les prérequis sont désormais disponibles ; scénario à rejouer avant qualification.</x:v>
      </x:c>
      <x:c r="I205" s="11" t="str">
        <x:v>Non testé</x:v>
      </x:c>
      <x:c r="J205" s="12" t="str">
        <x:v>Bloquante</x:v>
      </x:c>
      <x:c r="K205" s="17" t="str">
        <x:v>Requalifié méthodologiquement le 24/07/2026 : aucun blocage actif ni écart fonctionnel démontré.</x:v>
      </x:c>
    </x:row>
    <x:row r="206" ht="42" customHeight="1">
      <x:c r="A206" s="8" t="str">
        <x:v>Persistance</x:v>
      </x:c>
      <x:c r="B206" s="9" t="str">
        <x:v>PER-08</x:v>
      </x:c>
      <x:c r="C206" s="8" t="str">
        <x:v>Actualisation</x:v>
      </x:c>
      <x:c r="D206" s="8" t="str">
        <x:v>Tout rôle</x:v>
      </x:c>
      <x:c r="E206" s="10" t="str">
        <x:v>Bouton d'actualisation</x:v>
      </x:c>
      <x:c r="F206" s="10" t="str">
        <x:v>1. Faire saisir une donnée par un collègue. 2. Cliquer sur Actualiser.</x:v>
      </x:c>
      <x:c r="G206" s="10" t="str">
        <x:v>La donnée apparaît sans déconnexion.</x:v>
      </x:c>
      <x:c r="H206" s="10" t="str">
        <x:v>Non exécuté à ce stade. Les prérequis sont désormais disponibles ; scénario à rejouer avant qualification.</x:v>
      </x:c>
      <x:c r="I206" s="11" t="str">
        <x:v>Non testé</x:v>
      </x:c>
      <x:c r="J206" s="19" t="str">
        <x:v>Majeure</x:v>
      </x:c>
      <x:c r="K206" s="13" t="str">
        <x:v>Requalifié méthodologiquement le 24/07/2026 : aucun blocage actif ni écart fonctionnel démontré.</x:v>
      </x:c>
    </x:row>
    <x:row r="207" ht="42" customHeight="1">
      <x:c r="A207" s="14" t="str">
        <x:v>Persistance</x:v>
      </x:c>
      <x:c r="B207" s="15" t="str">
        <x:v>PER-09</x:v>
      </x:c>
      <x:c r="C207" s="14" t="str">
        <x:v>Actualisation</x:v>
      </x:c>
      <x:c r="D207" s="14" t="str">
        <x:v>Tout rôle</x:v>
      </x:c>
      <x:c r="E207" s="16" t="str">
        <x:v>Absence de rafraîchissement automatique</x:v>
      </x:c>
      <x:c r="F207" s="16" t="str">
        <x:v>1. Faire saisir une donnée par un collègue. 2. Attendre sans actualiser.</x:v>
      </x:c>
      <x:c r="G207" s="16" t="str">
        <x:v>L'écran n'est pas modifié tant que l'actualisation n'est pas demandée.</x:v>
      </x:c>
      <x:c r="H207" s="16" t="str">
        <x:v>Non exécuté à ce stade. Les prérequis sont désormais disponibles ; scénario à rejouer avant qualification.</x:v>
      </x:c>
      <x:c r="I207" s="11" t="str">
        <x:v>Non testé</x:v>
      </x:c>
      <x:c r="J207" s="18" t="str">
        <x:v>Moyenne</x:v>
      </x:c>
      <x:c r="K207" s="17" t="str">
        <x:v>Requalifié méthodologiquement le 24/07/2026 : aucun blocage actif ni écart fonctionnel démontré.</x:v>
      </x:c>
    </x:row>
    <x:row r="208" ht="42" customHeight="1">
      <x:c r="A208" s="8" t="str">
        <x:v>Persistance</x:v>
      </x:c>
      <x:c r="B208" s="9" t="str">
        <x:v>PER-10</x:v>
      </x:c>
      <x:c r="C208" s="8" t="str">
        <x:v>Concurrence</x:v>
      </x:c>
      <x:c r="D208" s="8" t="str">
        <x:v>Tout rôle</x:v>
      </x:c>
      <x:c r="E208" s="10" t="str">
        <x:v>Saisie simultanée sur deux postes</x:v>
      </x:c>
      <x:c r="F208" s="10" t="str">
        <x:v>1. Ouvrir la même escale sur deux postes. 2. Modifier un champ différent sur chacun. 3. Actualiser.</x:v>
      </x:c>
      <x:c r="G208" s="10" t="str">
        <x:v>Les deux modifications sont conservées ; le comportement en cas de conflit est documenté.</x:v>
      </x:c>
      <x:c r="H208" s="10" t="str">
        <x:v>Non exécuté à ce stade. Les prérequis sont désormais disponibles ; scénario à rejouer avant qualification.</x:v>
      </x:c>
      <x:c r="I208" s="11" t="str">
        <x:v>Non testé</x:v>
      </x:c>
      <x:c r="J208" s="19" t="str">
        <x:v>Majeure</x:v>
      </x:c>
      <x:c r="K208" s="13" t="str">
        <x:v>Requalifié méthodologiquement le 24/07/2026 : aucun blocage actif ni écart fonctionnel démontré.</x:v>
      </x:c>
    </x:row>
    <x:row r="209" ht="42" customHeight="1">
      <x:c r="A209" s="14" t="str">
        <x:v>Ergonomie</x:v>
      </x:c>
      <x:c r="B209" s="15" t="str">
        <x:v>ERG-01</x:v>
      </x:c>
      <x:c r="C209" s="14" t="str">
        <x:v>Performance</x:v>
      </x:c>
      <x:c r="D209" s="14" t="str">
        <x:v>Tout rôle</x:v>
      </x:c>
      <x:c r="E209" s="16" t="str">
        <x:v>Temps d'ouverture d'un écran</x:v>
      </x:c>
      <x:c r="F209" s="16" t="str">
        <x:v>1. Ouvrir successivement chaque écran de saisie. 2. Chronométrer.</x:v>
      </x:c>
      <x:c r="G209" s="16" t="str">
        <x:v>Chaque écran s'affiche en moins de deux secondes.</x:v>
      </x:c>
      <x:c r="H209" s="16" t="str">
        <x:v>Non exécuté à ce stade. Les prérequis sont désormais disponibles ; scénario à rejouer avant qualification.</x:v>
      </x:c>
      <x:c r="I209" s="11" t="str">
        <x:v>Non testé</x:v>
      </x:c>
      <x:c r="J209" s="19" t="str">
        <x:v>Majeure</x:v>
      </x:c>
      <x:c r="K209" s="17" t="str">
        <x:v>Requalifié méthodologiquement le 24/07/2026 : aucun blocage actif ni écart fonctionnel démontré.</x:v>
      </x:c>
    </x:row>
    <x:row r="210" ht="42" customHeight="1">
      <x:c r="A210" s="8" t="str">
        <x:v>Ergonomie</x:v>
      </x:c>
      <x:c r="B210" s="9" t="str">
        <x:v>ERG-02</x:v>
      </x:c>
      <x:c r="C210" s="8" t="str">
        <x:v>Performance</x:v>
      </x:c>
      <x:c r="D210" s="8" t="str">
        <x:v>Vessel Planner</x:v>
      </x:c>
      <x:c r="E210" s="10" t="str">
        <x:v>Fluidité avec un volume réaliste</x:v>
      </x:c>
      <x:c r="F210" s="10" t="str">
        <x:v>1. Charger au moins cinquante escales actives. 2. Parcourir le tableau de bord et saisir.</x:v>
      </x:c>
      <x:c r="G210" s="10" t="str">
        <x:v>Aucune lenteur perceptible à la saisie ni au défilement.</x:v>
      </x:c>
      <x:c r="H210" s="10" t="str">
        <x:v>Non exécuté à ce stade. Les prérequis sont désormais disponibles ; scénario à rejouer avant qualification.</x:v>
      </x:c>
      <x:c r="I210" s="11" t="str">
        <x:v>Non testé</x:v>
      </x:c>
      <x:c r="J210" s="19" t="str">
        <x:v>Majeure</x:v>
      </x:c>
      <x:c r="K210" s="13" t="str">
        <x:v>Requalifié méthodologiquement le 24/07/2026 : aucun blocage actif ni écart fonctionnel démontré.</x:v>
      </x:c>
    </x:row>
    <x:row r="211" ht="42" customHeight="1">
      <x:c r="A211" s="14" t="str">
        <x:v>Ergonomie</x:v>
      </x:c>
      <x:c r="B211" s="15" t="str">
        <x:v>ERG-03</x:v>
      </x:c>
      <x:c r="C211" s="14" t="str">
        <x:v>Compatibilité</x:v>
      </x:c>
      <x:c r="D211" s="14" t="str">
        <x:v>Tout rôle</x:v>
      </x:c>
      <x:c r="E211" s="16" t="str">
        <x:v>Fonctionnement sans installation</x:v>
      </x:c>
      <x:c r="F211" s="16" t="str">
        <x:v>1. Ouvrir l'application depuis un poste vierge, sur un navigateur récent.</x:v>
      </x:c>
      <x:c r="G211" s="16" t="str">
        <x:v>L'application fonctionne sans installation préalable.</x:v>
      </x:c>
      <x:c r="H211" s="16" t="str">
        <x:v>Non exécuté à ce stade. Les prérequis sont désormais disponibles ; scénario à rejouer avant qualification.</x:v>
      </x:c>
      <x:c r="I211" s="11" t="str">
        <x:v>Non testé</x:v>
      </x:c>
      <x:c r="J211" s="12" t="str">
        <x:v>Bloquante</x:v>
      </x:c>
      <x:c r="K211" s="17" t="str">
        <x:v>Requalifié méthodologiquement le 24/07/2026 : aucun blocage actif ni écart fonctionnel démontré.</x:v>
      </x:c>
    </x:row>
    <x:row r="212" ht="42" customHeight="1">
      <x:c r="A212" s="8" t="str">
        <x:v>Ergonomie</x:v>
      </x:c>
      <x:c r="B212" s="9" t="str">
        <x:v>ERG-04</x:v>
      </x:c>
      <x:c r="C212" s="8" t="str">
        <x:v>Affichage</x:v>
      </x:c>
      <x:c r="D212" s="8" t="str">
        <x:v>Tout rôle</x:v>
      </x:c>
      <x:c r="E212" s="10" t="str">
        <x:v>Adaptation aux écrans réduits</x:v>
      </x:c>
      <x:c r="F212" s="10" t="str">
        <x:v>1. Ouvrir l'application sur une tablette ou réduire la fenêtre.</x:v>
      </x:c>
      <x:c r="G212" s="10" t="str">
        <x:v>Les écrans restent utilisables et aucune fonction n'est perdue.</x:v>
      </x:c>
      <x:c r="H212" s="10" t="str">
        <x:v>Non exécuté à ce stade. Les prérequis sont désormais disponibles ; scénario à rejouer avant qualification.</x:v>
      </x:c>
      <x:c r="I212" s="11" t="str">
        <x:v>Non testé</x:v>
      </x:c>
      <x:c r="J212" s="19" t="str">
        <x:v>Majeure</x:v>
      </x:c>
      <x:c r="K212" s="13" t="str">
        <x:v>Requalifié méthodologiquement le 24/07/2026 : aucun blocage actif ni écart fonctionnel démontré.</x:v>
      </x:c>
    </x:row>
    <x:row r="213" ht="42" customHeight="1">
      <x:c r="A213" s="14" t="str">
        <x:v>Ergonomie</x:v>
      </x:c>
      <x:c r="B213" s="15" t="str">
        <x:v>ERG-05</x:v>
      </x:c>
      <x:c r="C213" s="14" t="str">
        <x:v>Langue</x:v>
      </x:c>
      <x:c r="D213" s="14" t="str">
        <x:v>Tout rôle</x:v>
      </x:c>
      <x:c r="E213" s="16" t="str">
        <x:v>Interface en français</x:v>
      </x:c>
      <x:c r="F213" s="16" t="str">
        <x:v>1. Parcourir les écrans, les messages et les libellés de listes.</x:v>
      </x:c>
      <x:c r="G213" s="16" t="str">
        <x:v>L'ensemble est en français, avec le vocabulaire métier du terminal.</x:v>
      </x:c>
      <x:c r="H213" s="16" t="str">
        <x:v>Non exécuté à ce stade. Les prérequis sont désormais disponibles ; scénario à rejouer avant qualification.</x:v>
      </x:c>
      <x:c r="I213" s="11" t="str">
        <x:v>Non testé</x:v>
      </x:c>
      <x:c r="J213" s="19" t="str">
        <x:v>Majeure</x:v>
      </x:c>
      <x:c r="K213" s="17" t="str">
        <x:v>Requalifié méthodologiquement le 24/07/2026 : aucun blocage actif ni écart fonctionnel démontré.</x:v>
      </x:c>
    </x:row>
    <x:row r="214" ht="42" customHeight="1">
      <x:c r="A214" s="8" t="str">
        <x:v>Ergonomie</x:v>
      </x:c>
      <x:c r="B214" s="9" t="str">
        <x:v>ERG-06</x:v>
      </x:c>
      <x:c r="C214" s="8" t="str">
        <x:v>Accessibilité</x:v>
      </x:c>
      <x:c r="D214" s="8" t="str">
        <x:v>Tout rôle</x:v>
      </x:c>
      <x:c r="E214" s="10" t="str">
        <x:v>Réduction des animations</x:v>
      </x:c>
      <x:c r="F214" s="10" t="str">
        <x:v>1. Activer la réduction des animations dans le système. 2. Recharger l'application.</x:v>
      </x:c>
      <x:c r="G214" s="10" t="str">
        <x:v>Les animations sont figées ou atténuées.</x:v>
      </x:c>
      <x:c r="H214" s="10" t="str">
        <x:v>Non exécuté à ce stade. Les prérequis sont désormais disponibles ; scénario à rejouer avant qualification.</x:v>
      </x:c>
      <x:c r="I214" s="11" t="str">
        <x:v>Non testé</x:v>
      </x:c>
      <x:c r="J214" s="18" t="str">
        <x:v>Moyenne</x:v>
      </x:c>
      <x:c r="K214" s="13" t="str">
        <x:v>Requalifié méthodologiquement le 24/07/2026 : aucun blocage actif ni écart fonctionnel démontré.</x:v>
      </x:c>
    </x:row>
    <x:row r="215" ht="42" customHeight="1">
      <x:c r="A215" s="14" t="str">
        <x:v>Ergonomie</x:v>
      </x:c>
      <x:c r="B215" s="15" t="str">
        <x:v>ERG-07</x:v>
      </x:c>
      <x:c r="C215" s="14" t="str">
        <x:v>Sécurité</x:v>
      </x:c>
      <x:c r="D215" s="14" t="str">
        <x:v>Administrateur</x:v>
      </x:c>
      <x:c r="E215" s="16" t="str">
        <x:v>Non-stockage du mot de passe en clair</x:v>
      </x:c>
      <x:c r="F215" s="16" t="str">
        <x:v>1. Consulter la fiche d'un compte. 2. Consulter la table des comptes en base.</x:v>
      </x:c>
      <x:c r="G215" s="16" t="str">
        <x:v>Aucun mot de passe n'est lisible en clair.</x:v>
      </x:c>
      <x:c r="H215" s="16" t="str">
        <x:v>Les 8 comptes possèdent un PasswordHash non vide ; aucune valeur ne correspond au mot de passe de recette en clair.</x:v>
      </x:c>
      <x:c r="I215" s="11" t="str">
        <x:v>OK</x:v>
      </x:c>
      <x:c r="J215" s="12" t="str">
        <x:v>Bloquante</x:v>
      </x:c>
      <x:c r="K215" s="17" t="str">
        <x:v>Réf. SF-NF-05 · Recette Codex 23/07/2026 — Contrôle SQL en lecture seule sur AspNetUsers : Total=8, Hashed=8, PlaintextMatches=0.</x:v>
      </x:c>
    </x:row>
    <x:row r="216" ht="42" customHeight="1">
      <x:c r="A216" s="8" t="str">
        <x:v>Ergonomie</x:v>
      </x:c>
      <x:c r="B216" s="9" t="str">
        <x:v>ERG-08</x:v>
      </x:c>
      <x:c r="C216" s="8" t="str">
        <x:v>Confirmation</x:v>
      </x:c>
      <x:c r="D216" s="8" t="str">
        <x:v>Vessel Planner</x:v>
      </x:c>
      <x:c r="E216" s="10" t="str">
        <x:v>Confirmation des actions destructrices</x:v>
      </x:c>
      <x:c r="F216" s="10" t="str">
        <x:v>1. Tenter successivement la suppression d'une escale et d'une ligne de registre.</x:v>
      </x:c>
      <x:c r="G216" s="10" t="str">
        <x:v>Chaque action destructrice demande une confirmation.</x:v>
      </x:c>
      <x:c r="H216" s="10" t="str">
        <x:v>Non exécuté à ce stade. Les prérequis sont désormais disponibles ; scénario à rejouer avant qualification.</x:v>
      </x:c>
      <x:c r="I216" s="11" t="str">
        <x:v>Non testé</x:v>
      </x:c>
      <x:c r="J216" s="19" t="str">
        <x:v>Majeure</x:v>
      </x:c>
      <x:c r="K216" s="13" t="str">
        <x:v>Requalifié méthodologiquement le 24/07/2026 : aucun blocage actif ni écart fonctionnel démontré.</x:v>
      </x:c>
    </x:row>
    <x:row r="217" ht="36">
      <x:c r="A217" s="34" t="str">
        <x:v>Synchronisation</x:v>
      </x:c>
      <x:c r="B217" s="35" t="str">
        <x:v>SYN-01</x:v>
      </x:c>
      <x:c r="C217" s="34" t="str">
        <x:v>Actualisation des données </x:v>
      </x:c>
      <x:c r="D217" s="34" t="str">
        <x:v>Tout Rôle</x:v>
      </x:c>
      <x:c r="E217" s="36" t="str">
        <x:v>Actualisation en temps réel des données sur tous les profils connectés</x:v>
      </x:c>
      <x:c r="F217" s="36" t="str">
        <x:v>1.Créer une escale et rester simultanement dans le dashbioard sur un autre profile 2. Observer si après validation de la création le navire apparait dans le dashboard sans cliquer sur le bouton actualiser</x:v>
      </x:c>
      <x:c r="G217" s="36" t="str">
        <x:v>Chaque entér de donnée demande une actualisation soit automatique soit dans un bref délai sans cliquer sur le bouton actualiser </x:v>
      </x:c>
      <x:c r="H217" s="16" t="str">
        <x:v>Non exécuté à ce stade. Les prérequis sont désormais disponibles ; scénario à rejouer avant qualification.</x:v>
      </x:c>
      <x:c r="I217" s="11" t="str">
        <x:v>Non testé</x:v>
      </x:c>
      <x:c r="J217" s="19" t="str">
        <x:v>Majeure</x:v>
      </x:c>
      <x:c r="K217" s="17" t="str">
        <x:v>Requalifié méthodologiquement le 24/07/2026 : aucun blocage actif ni écart fonctionnel démontré.</x:v>
      </x:c>
    </x:row>
  </x:sheetData>
  <x:dataValidations count="2">
    <x:dataValidation type="list" allowBlank="1" sqref="I2:I217">
      <x:formula1>"Non testé,OK,KO,Bloqué,Sans objet"</x:formula1>
      <x:formula2>0</x:formula2>
    </x:dataValidation>
    <x:dataValidation type="list" allowBlank="1" sqref="J2:J217">
      <x:formula1>"Bloquante,Majeure,Moyenne"</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6328125" defaultRowHeight="14.5"/>
  <x:cols>
    <x:col min="1" max="1" width="3" customWidth="1"/>
    <x:col min="2" max="2" width="34" customWidth="1"/>
    <x:col min="3" max="6" width="16" customWidth="1"/>
  </x:cols>
  <x:sheetData>
    <x:row r="2" ht="25.5" customHeight="1">
      <x:c r="A2" s="32" t="s">
        <x:v>111</x:v>
      </x:c>
      <x:c r="B2" s="32"/>
      <x:c r="C2" s="32"/>
      <x:c r="D2" s="32"/>
      <x:c r="E2" s="32"/>
    </x:row>
    <x:row r="3">
      <x:c r="A3" s="1" t="s">
        <x:v>112</x:v>
      </x:c>
    </x:row>
    <x:row r="5" ht="25.5" customHeight="1">
      <x:c r="B5" s="2" t="s">
        <x:v>113</x:v>
      </x:c>
      <x:c r="C5" s="2" t="s">
        <x:v>114</x:v>
      </x:c>
      <x:c r="D5" s="2" t="s">
        <x:v>115</x:v>
      </x:c>
      <x:c r="E5" s="2" t="s">
        <x:v>116</x:v>
      </x:c>
      <x:c r="F5" s="2" t="s">
        <x:v>117</x:v>
      </x:c>
    </x:row>
    <x:row r="6" ht="24" customHeight="1">
      <x:c r="B6" s="20" t="s">
        <x:v>118</x:v>
      </x:c>
      <x:c r="C6" s="21" t="n">
        <x:f>COUNTIF('Cahier de test'!$J$2:$J$217,"Bloquante")</x:f>
        <x:v>81</x:v>
      </x:c>
      <x:c r="D6" s="21" t="n">
        <x:f>COUNTIF('Cahier de test'!$J$2:$J$217,"Majeure")</x:f>
        <x:v>112</x:v>
      </x:c>
      <x:c r="E6" s="21" t="n">
        <x:f>COUNTIF('Cahier de test'!$J$2:$J$217,"Moyenne")</x:f>
        <x:v>23</x:v>
      </x:c>
      <x:c r="F6" s="22" t="n">
        <x:f>COUNTA('Cahier de test'!$B$2:$B$217)</x:f>
        <x:v>216</x:v>
      </x:c>
    </x:row>
    <x:row r="7" ht="24" customHeight="1">
      <x:c r="B7" s="23" t="s">
        <x:v>119</x:v>
      </x:c>
      <x:c r="C7" s="24" t="n">
        <x:f>COUNTIFS('Cahier de test'!$J$2:$J$217,"Bloquante",'Cahier de test'!$I$2:$I$217,"Non testé")</x:f>
        <x:v>29</x:v>
      </x:c>
      <x:c r="D7" s="24" t="n">
        <x:f>COUNTIFS('Cahier de test'!$J$2:$J$217,"Majeure",'Cahier de test'!$I$2:$I$217,"Non testé")</x:f>
        <x:v>52</x:v>
      </x:c>
      <x:c r="E7" s="24" t="n">
        <x:f>COUNTIFS('Cahier de test'!$J$2:$J$217,"Moyenne",'Cahier de test'!$I$2:$I$217,"Non testé")</x:f>
        <x:v>14</x:v>
      </x:c>
      <x:c r="F7" s="25" t="n">
        <x:f>COUNTIF('Cahier de test'!$I$2:$I$217,"Non testé")</x:f>
        <x:v>95</x:v>
      </x:c>
    </x:row>
    <x:row r="8" ht="24" customHeight="1">
      <x:c r="B8" s="20" t="s">
        <x:v>120</x:v>
      </x:c>
      <x:c r="C8" s="21" t="n">
        <x:f>COUNTIFS('Cahier de test'!$J$2:$J$217,"Bloquante",'Cahier de test'!$I$2:$I$217,"OK")</x:f>
        <x:v>52</x:v>
      </x:c>
      <x:c r="D8" s="21" t="n">
        <x:f>COUNTIFS('Cahier de test'!$J$2:$J$217,"Majeure",'Cahier de test'!$I$2:$I$217,"OK")</x:f>
        <x:v>60</x:v>
      </x:c>
      <x:c r="E8" s="21" t="n">
        <x:f>COUNTIFS('Cahier de test'!$J$2:$J$217,"Moyenne",'Cahier de test'!$I$2:$I$217,"OK")</x:f>
        <x:v>9</x:v>
      </x:c>
      <x:c r="F8" s="22" t="n">
        <x:f>COUNTIF('Cahier de test'!$I$2:$I$217,"OK")</x:f>
        <x:v>121</x:v>
      </x:c>
    </x:row>
    <x:row r="9" ht="24" customHeight="1">
      <x:c r="B9" s="23" t="s">
        <x:v>121</x:v>
      </x:c>
      <x:c r="C9" s="24" t="n">
        <x:f>COUNTIFS('Cahier de test'!$J$2:$J$217,"Bloquante",'Cahier de test'!$I$2:$I$217,"KO")</x:f>
        <x:v>0</x:v>
      </x:c>
      <x:c r="D9" s="24" t="n">
        <x:f>COUNTIFS('Cahier de test'!$J$2:$J$217,"Majeure",'Cahier de test'!$I$2:$I$217,"KO")</x:f>
        <x:v>0</x:v>
      </x:c>
      <x:c r="E9" s="24" t="n">
        <x:f>COUNTIFS('Cahier de test'!$J$2:$J$217,"Moyenne",'Cahier de test'!$I$2:$I$217,"KO")</x:f>
        <x:v>0</x:v>
      </x:c>
      <x:c r="F9" s="25" t="n">
        <x:f>COUNTIF('Cahier de test'!$I$2:$I$217,"KO")</x:f>
        <x:v>0</x:v>
      </x:c>
    </x:row>
    <x:row r="10" ht="24" customHeight="1">
      <x:c r="B10" s="20" t="s">
        <x:v>122</x:v>
      </x:c>
      <x:c r="C10" s="21" t="n">
        <x:f>COUNTIFS('Cahier de test'!$J$2:$J$217,"Bloquante",'Cahier de test'!$I$2:$I$217,"Bloqué")</x:f>
        <x:v>0</x:v>
      </x:c>
      <x:c r="D10" s="21" t="n">
        <x:f>COUNTIFS('Cahier de test'!$J$2:$J$217,"Majeure",'Cahier de test'!$I$2:$I$217,"Bloqué")</x:f>
        <x:v>0</x:v>
      </x:c>
      <x:c r="E10" s="21" t="n">
        <x:f>COUNTIFS('Cahier de test'!$J$2:$J$217,"Moyenne",'Cahier de test'!$I$2:$I$217,"Bloqué")</x:f>
        <x:v>0</x:v>
      </x:c>
      <x:c r="F10" s="22" t="n">
        <x:f>COUNTIF('Cahier de test'!$I$2:$I$217,"Bloqué")</x:f>
        <x:v>0</x:v>
      </x:c>
    </x:row>
    <x:row r="11" ht="24" customHeight="1">
      <x:c r="B11" s="23" t="s">
        <x:v>123</x:v>
      </x:c>
      <x:c r="C11" s="24" t="n">
        <x:f>COUNTIFS('Cahier de test'!$J$2:$J$217,"Bloquante",'Cahier de test'!$I$2:$I$217,"Sans objet")</x:f>
        <x:v>0</x:v>
      </x:c>
      <x:c r="D11" s="24" t="n">
        <x:f>COUNTIFS('Cahier de test'!$J$2:$J$217,"Majeure",'Cahier de test'!$I$2:$I$217,"Sans objet")</x:f>
        <x:v>0</x:v>
      </x:c>
      <x:c r="E11" s="24" t="n">
        <x:f>COUNTIFS('Cahier de test'!$J$2:$J$217,"Moyenne",'Cahier de test'!$I$2:$I$217,"Sans objet")</x:f>
        <x:v>0</x:v>
      </x:c>
      <x:c r="F11" s="25" t="n">
        <x:f>COUNTIF('Cahier de test'!$I$2:$I$217,"Sans objet")</x:f>
        <x:v>0</x:v>
      </x:c>
    </x:row>
    <x:row r="14">
      <x:c r="B14" s="26" t="s">
        <x:v>124</x:v>
      </x:c>
      <x:c r="C14" s="37" t="n">
        <x:f>IF(F6=0,0,(F8+F9+F11)/F6)</x:f>
        <x:v>0.5601851851851852</x:v>
      </x:c>
    </x:row>
    <x:row r="15">
      <x:c r="B15" s="26" t="s">
        <x:v>125</x:v>
      </x:c>
      <x:c r="C15" s="37" t="n">
        <x:f>IF((F8+F9)=0,0,F8/(F8+F9))</x:f>
        <x:v>1</x:v>
      </x:c>
    </x:row>
    <x:row r="17" ht="27.75" customHeight="1">
      <x:c r="B17" s="33" t="str">
        <x:f>IF(C9&gt;0,"RECETTE NON PRONONÇABLE — anomalie(s) bloquante(s) à corriger","Aucune anomalie bloquante ouverte")</x:f>
        <x:v>Aucune anomalie bloquante ouverte</x:v>
      </x:c>
      <x:c r="C17" s="33"/>
      <x:c r="D17" s="33"/>
      <x:c r="E17" s="33"/>
      <x:c r="F17" s="33"/>
    </x:row>
    <x:row r="20" ht="25.5" customHeight="1">
      <x:c r="A20" s="32" t="s">
        <x:v>126</x:v>
      </x:c>
      <x:c r="B20" s="32"/>
      <x:c r="C20" s="32"/>
      <x:c r="D20" s="32"/>
      <x:c r="E20" s="32"/>
    </x:row>
    <x:row r="22" ht="25.5" customHeight="1">
      <x:c r="B22" s="2" t="s">
        <x:v>3</x:v>
      </x:c>
      <x:c r="C22" s="2" t="s">
        <x:v>127</x:v>
      </x:c>
      <x:c r="D22" s="2" t="s">
        <x:v>128</x:v>
      </x:c>
      <x:c r="E22" s="2" t="s">
        <x:v>129</x:v>
      </x:c>
    </x:row>
    <x:row r="23" ht="31.5" customHeight="1">
      <x:c r="B23" s="20" t="s">
        <x:v>130</x:v>
      </x:c>
      <x:c r="C23" s="28"/>
      <x:c r="D23" s="28"/>
      <x:c r="E23" s="28"/>
    </x:row>
    <x:row r="24" ht="31.5" customHeight="1">
      <x:c r="B24" s="23" t="s">
        <x:v>131</x:v>
      </x:c>
      <x:c r="C24" s="29"/>
      <x:c r="D24" s="29"/>
      <x:c r="E24" s="29"/>
    </x:row>
    <x:row r="25" ht="31.5" customHeight="1">
      <x:c r="B25" s="20" t="s">
        <x:v>132</x:v>
      </x:c>
      <x:c r="C25" s="28"/>
      <x:c r="D25" s="28"/>
      <x:c r="E25" s="28"/>
    </x:row>
    <x:row r="26" ht="31.5" customHeight="1">
      <x:c r="B26" s="23" t="s">
        <x:v>133</x:v>
      </x:c>
      <x:c r="C26" s="29"/>
      <x:c r="D26" s="29"/>
      <x:c r="E26" s="29"/>
    </x:row>
  </x:sheetData>
  <x:mergeCells>
    <x:mergeCell ref="A2:E2"/>
    <x:mergeCell ref="B17:F17"/>
    <x:mergeCell ref="A20:E20"/>
  </x:mergeCells>
  <x:pageMargins left="0.7" right="0.7" top="0.75" bottom="0.75" header="0.3" footer="0.3"/>
</x:worksheet>
</file>